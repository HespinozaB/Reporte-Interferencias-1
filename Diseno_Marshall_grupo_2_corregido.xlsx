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eno_Marshall" sheetId="1" state="visible" r:id="rId1"/>
    <sheet name="Graficas_Marshall" sheetId="2" state="visible" r:id="rId2"/>
    <sheet name="EJEMPLO_SIMULADO" sheetId="3" state="visible" r:id="rId3"/>
    <sheet name="Graficas_EJEMPLO_SIMULADO" sheetId="4" state="visible" r:id="rId4"/>
    <sheet name="Factor_Altu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  <sz val="12"/>
    </font>
    <font>
      <b val="1"/>
      <sz val="12"/>
    </font>
    <font>
      <b val="1"/>
      <sz val="13"/>
    </font>
    <font>
      <b val="1"/>
      <color rgb="00FFFFFF"/>
      <sz val="13"/>
    </font>
    <font>
      <b val="1"/>
      <color rgb="00C00000"/>
      <sz val="13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4" fontId="0" fillId="4" borderId="1" pivotButton="0" quotePrefix="0" xfId="0"/>
    <xf numFmtId="0" fontId="0" fillId="4" borderId="1" pivotButton="0" quotePrefix="0" xfId="0"/>
    <xf numFmtId="2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2" fontId="0" fillId="5" borderId="1" pivotButton="0" quotePrefix="0" xfId="0"/>
    <xf numFmtId="2" fontId="4" fillId="0" borderId="1" pivotButton="0" quotePrefix="0" xfId="0"/>
    <xf numFmtId="2" fontId="4" fillId="4" borderId="1" pivotButton="0" quotePrefix="0" xfId="0"/>
    <xf numFmtId="0" fontId="5" fillId="0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Peso específico Gmb vs %CA</a:t>
            </a:r>
          </a:p>
        </rich>
      </tx>
    </title>
    <plotArea>
      <scatterChart>
        <ser>
          <idx val="0"/>
          <order val="0"/>
          <tx>
            <v>Gmb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'Diseno_Marshall'!$B$17:$B$21</f>
            </numRef>
          </xVal>
          <yVal>
            <numRef>
              <f>'Diseno_Marshall'!$P$17:$P$21</f>
            </numRef>
          </yVal>
          <smooth val="1"/>
        </ser>
        <axId val="10"/>
        <axId val="20"/>
      </scatterChart>
      <valAx>
        <axId val="10"/>
        <scaling>
          <orientation val="minMax"/>
          <max val="10.5"/>
          <min val="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Gmb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% Vacíos en la mezcla vs %CA</a:t>
            </a:r>
          </a:p>
        </rich>
      </tx>
    </title>
    <plotArea>
      <scatterChart>
        <ser>
          <idx val="0"/>
          <order val="0"/>
          <tx>
            <v>Va (%)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'Diseno_Marshall'!$B$17:$B$21</f>
            </numRef>
          </xVal>
          <yVal>
            <numRef>
              <f>'Diseno_Marshall'!$R$17:$R$21</f>
            </numRef>
          </yVal>
          <smooth val="1"/>
        </ser>
        <axId val="10"/>
        <axId val="20"/>
      </scatterChart>
      <valAx>
        <axId val="10"/>
        <scaling>
          <orientation val="minMax"/>
          <max val="10.5"/>
          <min val="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Va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% VMA vs %CA</a:t>
            </a:r>
          </a:p>
        </rich>
      </tx>
    </title>
    <plotArea>
      <scatterChart>
        <ser>
          <idx val="0"/>
          <order val="0"/>
          <tx>
            <v>VMA (%)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'Diseno_Marshall'!$B$17:$B$21</f>
            </numRef>
          </xVal>
          <yVal>
            <numRef>
              <f>'Diseno_Marshall'!$S$17:$S$21</f>
            </numRef>
          </yVal>
          <smooth val="1"/>
        </ser>
        <axId val="10"/>
        <axId val="20"/>
      </scatterChart>
      <valAx>
        <axId val="10"/>
        <scaling>
          <orientation val="minMax"/>
          <max val="10.5"/>
          <min val="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VMA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% VFA vs %CA</a:t>
            </a:r>
          </a:p>
        </rich>
      </tx>
    </title>
    <plotArea>
      <scatterChart>
        <ser>
          <idx val="0"/>
          <order val="0"/>
          <tx>
            <v>VFA (%)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'Diseno_Marshall'!$B$17:$B$21</f>
            </numRef>
          </xVal>
          <yVal>
            <numRef>
              <f>'Diseno_Marshall'!$T$17:$T$21</f>
            </numRef>
          </yVal>
          <smooth val="1"/>
        </ser>
        <axId val="10"/>
        <axId val="20"/>
      </scatterChart>
      <valAx>
        <axId val="10"/>
        <scaling>
          <orientation val="minMax"/>
          <max val="10.5"/>
          <min val="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VFA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Estabilidad vs %CA</a:t>
            </a:r>
          </a:p>
        </rich>
      </tx>
    </title>
    <plotArea>
      <scatterChart>
        <ser>
          <idx val="0"/>
          <order val="0"/>
          <tx>
            <v>Estabilidad (kN)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'Diseno_Marshall'!$B$17:$B$21</f>
            </numRef>
          </xVal>
          <yVal>
            <numRef>
              <f>'Diseno_Marshall'!$X$17:$X$21</f>
            </numRef>
          </yVal>
          <smooth val="1"/>
        </ser>
        <axId val="10"/>
        <axId val="20"/>
      </scatterChart>
      <valAx>
        <axId val="10"/>
        <scaling>
          <orientation val="minMax"/>
          <max val="10.5"/>
          <min val="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Estabilidad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Flujo vs %CA</a:t>
            </a:r>
          </a:p>
        </rich>
      </tx>
    </title>
    <plotArea>
      <scatterChart>
        <ser>
          <idx val="0"/>
          <order val="0"/>
          <tx>
            <v>Flujo (mm)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'Diseno_Marshall'!$B$17:$B$21</f>
            </numRef>
          </xVal>
          <yVal>
            <numRef>
              <f>'Diseno_Marshall'!$Y$17:$Y$21</f>
            </numRef>
          </yVal>
          <smooth val="1"/>
        </ser>
        <axId val="10"/>
        <axId val="20"/>
      </scatterChart>
      <valAx>
        <axId val="10"/>
        <scaling>
          <orientation val="minMax"/>
          <max val="10.5"/>
          <min val="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Flujo (mm)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Peso específico Gmb vs %CA</a:t>
            </a:r>
          </a:p>
        </rich>
      </tx>
    </title>
    <plotArea>
      <scatterChart>
        <ser>
          <idx val="0"/>
          <order val="0"/>
          <tx>
            <v>Gmb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'EJEMPLO_SIMULADO'!$B$17:$B$31</f>
            </numRef>
          </xVal>
          <yVal>
            <numRef>
              <f>'EJEMPLO_SIMULADO'!$P$17:$P$31</f>
            </numRef>
          </yVal>
          <smooth val="1"/>
        </ser>
        <axId val="10"/>
        <axId val="20"/>
      </scatterChart>
      <valAx>
        <axId val="10"/>
        <scaling>
          <orientation val="minMax"/>
          <max val="7.5"/>
          <min val="4.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Gmb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% Vacíos en la mezcla vs %CA</a:t>
            </a:r>
          </a:p>
        </rich>
      </tx>
    </title>
    <plotArea>
      <scatterChart>
        <ser>
          <idx val="0"/>
          <order val="0"/>
          <tx>
            <v>Va (%)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'EJEMPLO_SIMULADO'!$B$17:$B$31</f>
            </numRef>
          </xVal>
          <yVal>
            <numRef>
              <f>'EJEMPLO_SIMULADO'!$R$17:$R$31</f>
            </numRef>
          </yVal>
          <smooth val="1"/>
        </ser>
        <axId val="10"/>
        <axId val="20"/>
      </scatterChart>
      <valAx>
        <axId val="10"/>
        <scaling>
          <orientation val="minMax"/>
          <max val="7.5"/>
          <min val="4.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Va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% VMA vs %CA</a:t>
            </a:r>
          </a:p>
        </rich>
      </tx>
    </title>
    <plotArea>
      <scatterChart>
        <ser>
          <idx val="0"/>
          <order val="0"/>
          <tx>
            <v>VMA (%)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'EJEMPLO_SIMULADO'!$B$17:$B$31</f>
            </numRef>
          </xVal>
          <yVal>
            <numRef>
              <f>'EJEMPLO_SIMULADO'!$S$17:$S$31</f>
            </numRef>
          </yVal>
          <smooth val="1"/>
        </ser>
        <axId val="10"/>
        <axId val="20"/>
      </scatterChart>
      <valAx>
        <axId val="10"/>
        <scaling>
          <orientation val="minMax"/>
          <max val="7.5"/>
          <min val="4.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VMA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% VFA vs %CA</a:t>
            </a:r>
          </a:p>
        </rich>
      </tx>
    </title>
    <plotArea>
      <scatterChart>
        <ser>
          <idx val="0"/>
          <order val="0"/>
          <tx>
            <v>VFA (%)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'EJEMPLO_SIMULADO'!$B$17:$B$31</f>
            </numRef>
          </xVal>
          <yVal>
            <numRef>
              <f>'EJEMPLO_SIMULADO'!$T$17:$T$31</f>
            </numRef>
          </yVal>
          <smooth val="1"/>
        </ser>
        <axId val="10"/>
        <axId val="20"/>
      </scatterChart>
      <valAx>
        <axId val="10"/>
        <scaling>
          <orientation val="minMax"/>
          <max val="7.5"/>
          <min val="4.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VFA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Estabilidad vs %CA</a:t>
            </a:r>
          </a:p>
        </rich>
      </tx>
    </title>
    <plotArea>
      <scatterChart>
        <ser>
          <idx val="0"/>
          <order val="0"/>
          <tx>
            <v>Estabilidad (kN)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'EJEMPLO_SIMULADO'!$B$17:$B$31</f>
            </numRef>
          </xVal>
          <yVal>
            <numRef>
              <f>'EJEMPLO_SIMULADO'!$X$17:$X$31</f>
            </numRef>
          </yVal>
          <smooth val="1"/>
        </ser>
        <axId val="10"/>
        <axId val="20"/>
      </scatterChart>
      <valAx>
        <axId val="10"/>
        <scaling>
          <orientation val="minMax"/>
          <max val="7.5"/>
          <min val="4.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Estabilidad (kN)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Flujo vs %CA</a:t>
            </a:r>
          </a:p>
        </rich>
      </tx>
    </title>
    <plotArea>
      <scatterChart>
        <ser>
          <idx val="0"/>
          <order val="0"/>
          <tx>
            <v>Flujo (mm)</v>
          </tx>
          <spPr>
            <a:ln>
              <a:noFill/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poly"/>
            <order val="2"/>
          </trendline>
          <xVal>
            <numRef>
              <f>'EJEMPLO_SIMULADO'!$B$17:$B$31</f>
            </numRef>
          </xVal>
          <yVal>
            <numRef>
              <f>'EJEMPLO_SIMULADO'!$Y$17:$Y$31</f>
            </numRef>
          </yVal>
          <smooth val="1"/>
        </ser>
        <axId val="10"/>
        <axId val="20"/>
      </scatterChart>
      <valAx>
        <axId val="10"/>
        <scaling>
          <orientation val="minMax"/>
          <max val="7.5"/>
          <min val="4.5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Contenido de asfalto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Flujo (mm)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18</row>
      <rowOff>0</rowOff>
    </from>
    <ext cx="43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18</row>
      <rowOff>0</rowOff>
    </from>
    <ext cx="43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34</row>
      <rowOff>0</rowOff>
    </from>
    <ext cx="43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34</row>
      <rowOff>0</rowOff>
    </from>
    <ext cx="43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3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18</row>
      <rowOff>0</rowOff>
    </from>
    <ext cx="432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18</row>
      <rowOff>0</rowOff>
    </from>
    <ext cx="432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34</row>
      <rowOff>0</rowOff>
    </from>
    <ext cx="432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8</col>
      <colOff>0</colOff>
      <row>34</row>
      <rowOff>0</rowOff>
    </from>
    <ext cx="432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6" customWidth="1" min="4" max="4"/>
    <col width="6" customWidth="1" min="5" max="5"/>
    <col width="6" customWidth="1" min="6" max="6"/>
    <col width="9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9" customWidth="1" min="22" max="22"/>
    <col width="10" customWidth="1" min="23" max="23"/>
    <col width="9" customWidth="1" min="24" max="24"/>
    <col width="7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LABORATORIO DE ASFALTOS</t>
        </is>
      </c>
    </row>
    <row r="2">
      <c r="A2" s="2" t="inlineStr">
        <is>
          <t>DISEÑO DE MEZCLAS ASFÁLTICAS EN CALIENTE - MÉTODO MARSHALL</t>
        </is>
      </c>
    </row>
    <row r="3">
      <c r="A3" s="3" t="inlineStr">
        <is>
          <t>Proyecto:</t>
        </is>
      </c>
      <c r="C3" t="inlineStr">
        <is>
          <t>Práctica académica de diseño Marshall - Maestría UNA Puno</t>
        </is>
      </c>
    </row>
    <row r="4">
      <c r="A4" s="3" t="inlineStr">
        <is>
          <t>Mezcla:</t>
        </is>
      </c>
      <c r="C4" t="inlineStr">
        <is>
          <t>MAC-2 fina (huso MAC-2, MTC EG-2013)</t>
        </is>
      </c>
    </row>
    <row r="5">
      <c r="A5" s="3" t="inlineStr">
        <is>
          <t>C.A.:</t>
        </is>
      </c>
      <c r="C5" t="inlineStr">
        <is>
          <t>PEN 120-150</t>
        </is>
      </c>
    </row>
    <row r="6">
      <c r="A6" s="3" t="inlineStr">
        <is>
          <t>Compactación:</t>
        </is>
      </c>
      <c r="C6" t="inlineStr">
        <is>
          <t>50 golpes por cara</t>
        </is>
      </c>
    </row>
    <row r="8">
      <c r="A8" s="3" t="inlineStr">
        <is>
          <t>PARÁMETROS DE DISEÑO (celdas amarillas editables)</t>
        </is>
      </c>
      <c r="G8" s="3" t="inlineStr">
        <is>
          <t>ESPECIFICACIONES (EG-2013, Clase B)</t>
        </is>
      </c>
      <c r="J8" s="4" t="inlineStr">
        <is>
          <t>Mín.</t>
        </is>
      </c>
      <c r="K8" s="4" t="inlineStr">
        <is>
          <t>Máx.</t>
        </is>
      </c>
    </row>
    <row r="9">
      <c r="A9" t="inlineStr">
        <is>
          <t>Gb  - Peso específico del asfalto</t>
        </is>
      </c>
      <c r="D9" s="5" t="n">
        <v>1.023</v>
      </c>
      <c r="G9" t="inlineStr">
        <is>
          <t>Estabilidad mínima (kN)</t>
        </is>
      </c>
      <c r="J9" s="6" t="n">
        <v>5.44</v>
      </c>
    </row>
    <row r="10">
      <c r="A10" t="inlineStr">
        <is>
          <t>Gsb - Peso esp. bulk agregado combinado</t>
        </is>
      </c>
      <c r="D10" s="5" t="n">
        <v>2.769</v>
      </c>
      <c r="G10" t="inlineStr">
        <is>
          <t>Flujo (mm)</t>
        </is>
      </c>
      <c r="J10" s="6" t="n">
        <v>2</v>
      </c>
      <c r="K10" s="6" t="n">
        <v>4</v>
      </c>
    </row>
    <row r="11">
      <c r="A11" t="inlineStr">
        <is>
          <t>Gse - Peso esp. efectivo del agregado</t>
        </is>
      </c>
      <c r="D11" s="5" t="n">
        <v>2.872</v>
      </c>
      <c r="G11" t="inlineStr">
        <is>
          <t>Vacíos de aire Va (%)</t>
        </is>
      </c>
      <c r="J11" s="6" t="n">
        <v>3</v>
      </c>
      <c r="K11" s="6" t="n">
        <v>5</v>
      </c>
    </row>
    <row r="12">
      <c r="A12" t="inlineStr">
        <is>
          <t>Pba - % asfalto absorbido (% peso agregado)</t>
        </is>
      </c>
      <c r="D12" s="7">
        <f>100*D9*(D11-D10)/(D10*D11)</f>
        <v/>
      </c>
      <c r="G12" t="inlineStr">
        <is>
          <t>VMA mínimo (%) - TMN 12.5 mm</t>
        </is>
      </c>
      <c r="J12" s="6" t="n">
        <v>14</v>
      </c>
    </row>
    <row r="13">
      <c r="A13" t="inlineStr">
        <is>
          <t>Diámetro de briqueta (cm)</t>
        </is>
      </c>
      <c r="D13" s="5" t="n">
        <v>10.16</v>
      </c>
      <c r="G13" t="inlineStr">
        <is>
          <t>VFA (%)</t>
        </is>
      </c>
      <c r="J13" s="6" t="n">
        <v>65</v>
      </c>
      <c r="K13" s="6" t="n">
        <v>75</v>
      </c>
    </row>
    <row r="14">
      <c r="G14" t="inlineStr">
        <is>
          <t>Va objetivo para óptimo (%)</t>
        </is>
      </c>
      <c r="J14" s="6" t="n">
        <v>4</v>
      </c>
    </row>
    <row r="16" ht="42" customHeight="1">
      <c r="A16" s="8" t="inlineStr">
        <is>
          <t>Muestra</t>
        </is>
      </c>
      <c r="B16" s="8" t="inlineStr">
        <is>
          <t>Pb
(%)</t>
        </is>
      </c>
      <c r="C16" s="8" t="inlineStr">
        <is>
          <t>Ps
(%)</t>
        </is>
      </c>
      <c r="D16" s="8" t="inlineStr">
        <is>
          <t>h1
(cm)</t>
        </is>
      </c>
      <c r="E16" s="8" t="inlineStr">
        <is>
          <t>h2
(cm)</t>
        </is>
      </c>
      <c r="F16" s="8" t="inlineStr">
        <is>
          <t>h3
(cm)</t>
        </is>
      </c>
      <c r="G16" s="8" t="inlineStr">
        <is>
          <t>h4
(cm)</t>
        </is>
      </c>
      <c r="H16" s="8" t="inlineStr">
        <is>
          <t>h prom.
(cm)</t>
        </is>
      </c>
      <c r="I16" s="8" t="inlineStr">
        <is>
          <t>Factor
correc.</t>
        </is>
      </c>
      <c r="J16" s="8" t="inlineStr">
        <is>
          <t>Peso seco
aire (g)</t>
        </is>
      </c>
      <c r="K16" s="8" t="inlineStr">
        <is>
          <t>Peso SSS
(g)</t>
        </is>
      </c>
      <c r="L16" s="8" t="inlineStr">
        <is>
          <t>Sumerg. 1
(g)</t>
        </is>
      </c>
      <c r="M16" s="8" t="inlineStr">
        <is>
          <t>Sumerg. 2
(g)</t>
        </is>
      </c>
      <c r="N16" s="8" t="inlineStr">
        <is>
          <t>Sumerg.
prom. (g)</t>
        </is>
      </c>
      <c r="O16" s="8" t="inlineStr">
        <is>
          <t>Vol.
bulk (cc)</t>
        </is>
      </c>
      <c r="P16" s="8" t="inlineStr">
        <is>
          <t>Gmb</t>
        </is>
      </c>
      <c r="Q16" s="8" t="inlineStr">
        <is>
          <t>Gmm
teórica</t>
        </is>
      </c>
      <c r="R16" s="8" t="inlineStr">
        <is>
          <t>Va
(%)</t>
        </is>
      </c>
      <c r="S16" s="8" t="inlineStr">
        <is>
          <t>VMA
(%)</t>
        </is>
      </c>
      <c r="T16" s="8" t="inlineStr">
        <is>
          <t>VFA
(%)</t>
        </is>
      </c>
      <c r="U16" s="8" t="inlineStr">
        <is>
          <t>Pbe
(%)</t>
        </is>
      </c>
      <c r="V16" s="8" t="inlineStr">
        <is>
          <t>Estab.
leída (kg)</t>
        </is>
      </c>
      <c r="W16" s="8" t="inlineStr">
        <is>
          <t>Estab.
correg. (kg)</t>
        </is>
      </c>
      <c r="X16" s="8" t="inlineStr">
        <is>
          <t>Estab.
correg. (kN)</t>
        </is>
      </c>
      <c r="Y16" s="8" t="inlineStr">
        <is>
          <t>Flujo
(mm)</t>
        </is>
      </c>
      <c r="Z16" s="8" t="inlineStr">
        <is>
          <t>Est./Flujo
(kg/cm)</t>
        </is>
      </c>
      <c r="AA16" s="8" t="inlineStr">
        <is>
          <t>Densidad
geom.</t>
        </is>
      </c>
      <c r="AB16" s="8" t="inlineStr">
        <is>
          <t>Absorción
agua (%)</t>
        </is>
      </c>
    </row>
    <row r="17">
      <c r="A17" s="9" t="inlineStr">
        <is>
          <t>M1</t>
        </is>
      </c>
      <c r="B17" s="10" t="n">
        <v>5.5</v>
      </c>
      <c r="C17" s="11">
        <f>100-B17</f>
        <v/>
      </c>
      <c r="D17" s="9" t="n">
        <v>6.7</v>
      </c>
      <c r="E17" s="9" t="n">
        <v>6.4</v>
      </c>
      <c r="F17" s="9" t="n">
        <v>6.3</v>
      </c>
      <c r="G17" s="9" t="n">
        <v>6.6</v>
      </c>
      <c r="H17" s="12">
        <f>AVERAGE(D17:G17)</f>
        <v/>
      </c>
      <c r="I17" s="13">
        <f>INDEX(Factor_Altura!$B$2:$B$34,MATCH(H17*10,Factor_Altura!$A$2:$A$34,1))+(H17*10-INDEX(Factor_Altura!$A$2:$A$34,MATCH(H17*10,Factor_Altura!$A$2:$A$34,1)))*(INDEX(Factor_Altura!$B$2:$B$34,MATCH(H17*10,Factor_Altura!$A$2:$A$34,1)+1)-INDEX(Factor_Altura!$B$2:$B$34,MATCH(H17*10,Factor_Altura!$A$2:$A$34,1)))/(INDEX(Factor_Altura!$A$2:$A$34,MATCH(H17*10,Factor_Altura!$A$2:$A$34,1)+1)-INDEX(Factor_Altura!$A$2:$A$34,MATCH(H17*10,Factor_Altura!$A$2:$A$34,1)))</f>
        <v/>
      </c>
      <c r="J17" s="9" t="n">
        <v>1139</v>
      </c>
      <c r="K17" s="9" t="n">
        <v>1142</v>
      </c>
      <c r="L17" s="9" t="n">
        <v>582</v>
      </c>
      <c r="M17" s="9" t="n">
        <v>575</v>
      </c>
      <c r="N17" s="11">
        <f>AVERAGE(L17:M17)</f>
        <v/>
      </c>
      <c r="O17" s="11">
        <f>K17-N17</f>
        <v/>
      </c>
      <c r="P17" s="13">
        <f>J17/O17</f>
        <v/>
      </c>
      <c r="Q17" s="13">
        <f>100/(B17/$D$9+C17/$D$11)</f>
        <v/>
      </c>
      <c r="R17" s="12">
        <f>100*(Q17-P17)/Q17</f>
        <v/>
      </c>
      <c r="S17" s="12">
        <f>100-P17*C17/$D$10</f>
        <v/>
      </c>
      <c r="T17" s="11">
        <f>100*(S17-R17)/S17</f>
        <v/>
      </c>
      <c r="U17" s="12">
        <f>B17-$D$12*C17/100</f>
        <v/>
      </c>
      <c r="V17" s="9" t="n">
        <v>883.9</v>
      </c>
      <c r="W17" s="11">
        <f>V17*I17</f>
        <v/>
      </c>
      <c r="X17" s="12">
        <f>W17*9.80665/1000</f>
        <v/>
      </c>
      <c r="Y17" s="10" t="n">
        <v>4</v>
      </c>
      <c r="Z17" s="14">
        <f>W17/(Y17/10)</f>
        <v/>
      </c>
      <c r="AA17" s="13">
        <f>J17/(PI()*$D$13^2/4*H17)</f>
        <v/>
      </c>
      <c r="AB17" s="12">
        <f>100*(K17-J17)/O17</f>
        <v/>
      </c>
    </row>
    <row r="18">
      <c r="A18" s="9" t="inlineStr">
        <is>
          <t>M2</t>
        </is>
      </c>
      <c r="B18" s="10" t="n">
        <v>6</v>
      </c>
      <c r="C18" s="11">
        <f>100-B18</f>
        <v/>
      </c>
      <c r="D18" s="9" t="n">
        <v>6.8</v>
      </c>
      <c r="E18" s="9" t="n">
        <v>6.7</v>
      </c>
      <c r="F18" s="9" t="n">
        <v>6.6</v>
      </c>
      <c r="G18" s="9" t="n">
        <v>6.6</v>
      </c>
      <c r="H18" s="12">
        <f>AVERAGE(D18:G18)</f>
        <v/>
      </c>
      <c r="I18" s="13">
        <f>INDEX(Factor_Altura!$B$2:$B$34,MATCH(H18*10,Factor_Altura!$A$2:$A$34,1))+(H18*10-INDEX(Factor_Altura!$A$2:$A$34,MATCH(H18*10,Factor_Altura!$A$2:$A$34,1)))*(INDEX(Factor_Altura!$B$2:$B$34,MATCH(H18*10,Factor_Altura!$A$2:$A$34,1)+1)-INDEX(Factor_Altura!$B$2:$B$34,MATCH(H18*10,Factor_Altura!$A$2:$A$34,1)))/(INDEX(Factor_Altura!$A$2:$A$34,MATCH(H18*10,Factor_Altura!$A$2:$A$34,1)+1)-INDEX(Factor_Altura!$A$2:$A$34,MATCH(H18*10,Factor_Altura!$A$2:$A$34,1)))</f>
        <v/>
      </c>
      <c r="J18" s="9" t="n">
        <v>1124</v>
      </c>
      <c r="K18" s="9" t="n">
        <v>1132</v>
      </c>
      <c r="L18" s="9" t="n">
        <v>609</v>
      </c>
      <c r="M18" s="9" t="n">
        <v>614</v>
      </c>
      <c r="N18" s="11">
        <f>AVERAGE(L18:M18)</f>
        <v/>
      </c>
      <c r="O18" s="11">
        <f>K18-N18</f>
        <v/>
      </c>
      <c r="P18" s="13">
        <f>J18/O18</f>
        <v/>
      </c>
      <c r="Q18" s="13">
        <f>100/(B18/$D$9+C18/$D$11)</f>
        <v/>
      </c>
      <c r="R18" s="12">
        <f>100*(Q18-P18)/Q18</f>
        <v/>
      </c>
      <c r="S18" s="12">
        <f>100-P18*C18/$D$10</f>
        <v/>
      </c>
      <c r="T18" s="11">
        <f>100*(S18-R18)/S18</f>
        <v/>
      </c>
      <c r="U18" s="12">
        <f>B18-$D$12*C18/100</f>
        <v/>
      </c>
      <c r="V18" s="9" t="n">
        <v>669.7</v>
      </c>
      <c r="W18" s="11">
        <f>V18*I18</f>
        <v/>
      </c>
      <c r="X18" s="12">
        <f>W18*9.80665/1000</f>
        <v/>
      </c>
      <c r="Y18" s="10" t="n">
        <v>4.4</v>
      </c>
      <c r="Z18" s="14">
        <f>W18/(Y18/10)</f>
        <v/>
      </c>
      <c r="AA18" s="13">
        <f>J18/(PI()*$D$13^2/4*H18)</f>
        <v/>
      </c>
      <c r="AB18" s="12">
        <f>100*(K18-J18)/O18</f>
        <v/>
      </c>
    </row>
    <row r="19">
      <c r="A19" s="9" t="inlineStr">
        <is>
          <t>M3</t>
        </is>
      </c>
      <c r="B19" s="10" t="n">
        <v>6.5</v>
      </c>
      <c r="C19" s="11">
        <f>100-B19</f>
        <v/>
      </c>
      <c r="D19" s="9" t="n">
        <v>6.5</v>
      </c>
      <c r="E19" s="9" t="n">
        <v>6.9</v>
      </c>
      <c r="F19" s="9" t="n">
        <v>7</v>
      </c>
      <c r="G19" s="9" t="n">
        <v>6.8</v>
      </c>
      <c r="H19" s="12">
        <f>AVERAGE(D19:G19)</f>
        <v/>
      </c>
      <c r="I19" s="13">
        <f>INDEX(Factor_Altura!$B$2:$B$34,MATCH(H19*10,Factor_Altura!$A$2:$A$34,1))+(H19*10-INDEX(Factor_Altura!$A$2:$A$34,MATCH(H19*10,Factor_Altura!$A$2:$A$34,1)))*(INDEX(Factor_Altura!$B$2:$B$34,MATCH(H19*10,Factor_Altura!$A$2:$A$34,1)+1)-INDEX(Factor_Altura!$B$2:$B$34,MATCH(H19*10,Factor_Altura!$A$2:$A$34,1)))/(INDEX(Factor_Altura!$A$2:$A$34,MATCH(H19*10,Factor_Altura!$A$2:$A$34,1)+1)-INDEX(Factor_Altura!$A$2:$A$34,MATCH(H19*10,Factor_Altura!$A$2:$A$34,1)))</f>
        <v/>
      </c>
      <c r="J19" s="9" t="n">
        <v>1184</v>
      </c>
      <c r="K19" s="9" t="n">
        <v>1184</v>
      </c>
      <c r="L19" s="9" t="n">
        <v>641</v>
      </c>
      <c r="M19" s="9" t="n">
        <v>643</v>
      </c>
      <c r="N19" s="11">
        <f>AVERAGE(L19:M19)</f>
        <v/>
      </c>
      <c r="O19" s="11">
        <f>K19-N19</f>
        <v/>
      </c>
      <c r="P19" s="13">
        <f>J19/O19</f>
        <v/>
      </c>
      <c r="Q19" s="13">
        <f>100/(B19/$D$9+C19/$D$11)</f>
        <v/>
      </c>
      <c r="R19" s="12">
        <f>100*(Q19-P19)/Q19</f>
        <v/>
      </c>
      <c r="S19" s="12">
        <f>100-P19*C19/$D$10</f>
        <v/>
      </c>
      <c r="T19" s="11">
        <f>100*(S19-R19)/S19</f>
        <v/>
      </c>
      <c r="U19" s="12">
        <f>B19-$D$12*C19/100</f>
        <v/>
      </c>
      <c r="V19" s="9" t="n">
        <v>772</v>
      </c>
      <c r="W19" s="11">
        <f>V19*I19</f>
        <v/>
      </c>
      <c r="X19" s="12">
        <f>W19*9.80665/1000</f>
        <v/>
      </c>
      <c r="Y19" s="10" t="n">
        <v>4.9</v>
      </c>
      <c r="Z19" s="14">
        <f>W19/(Y19/10)</f>
        <v/>
      </c>
      <c r="AA19" s="13">
        <f>J19/(PI()*$D$13^2/4*H19)</f>
        <v/>
      </c>
      <c r="AB19" s="12">
        <f>100*(K19-J19)/O19</f>
        <v/>
      </c>
    </row>
    <row r="20">
      <c r="A20" s="9" t="inlineStr">
        <is>
          <t>M4</t>
        </is>
      </c>
      <c r="B20" s="10" t="n">
        <v>8</v>
      </c>
      <c r="C20" s="11">
        <f>100-B20</f>
        <v/>
      </c>
      <c r="D20" s="9" t="n">
        <v>6.5</v>
      </c>
      <c r="E20" s="9" t="n">
        <v>6.6</v>
      </c>
      <c r="F20" s="9" t="n">
        <v>6.4</v>
      </c>
      <c r="G20" s="9" t="n">
        <v>6.4</v>
      </c>
      <c r="H20" s="12">
        <f>AVERAGE(D20:G20)</f>
        <v/>
      </c>
      <c r="I20" s="13">
        <f>INDEX(Factor_Altura!$B$2:$B$34,MATCH(H20*10,Factor_Altura!$A$2:$A$34,1))+(H20*10-INDEX(Factor_Altura!$A$2:$A$34,MATCH(H20*10,Factor_Altura!$A$2:$A$34,1)))*(INDEX(Factor_Altura!$B$2:$B$34,MATCH(H20*10,Factor_Altura!$A$2:$A$34,1)+1)-INDEX(Factor_Altura!$B$2:$B$34,MATCH(H20*10,Factor_Altura!$A$2:$A$34,1)))/(INDEX(Factor_Altura!$A$2:$A$34,MATCH(H20*10,Factor_Altura!$A$2:$A$34,1)+1)-INDEX(Factor_Altura!$A$2:$A$34,MATCH(H20*10,Factor_Altura!$A$2:$A$34,1)))</f>
        <v/>
      </c>
      <c r="J20" s="9" t="n">
        <v>1134</v>
      </c>
      <c r="K20" s="9" t="n">
        <v>1136</v>
      </c>
      <c r="L20" s="9" t="n">
        <v>617</v>
      </c>
      <c r="M20" s="9" t="n">
        <v>619</v>
      </c>
      <c r="N20" s="11">
        <f>AVERAGE(L20:M20)</f>
        <v/>
      </c>
      <c r="O20" s="11">
        <f>K20-N20</f>
        <v/>
      </c>
      <c r="P20" s="13">
        <f>J20/O20</f>
        <v/>
      </c>
      <c r="Q20" s="13">
        <f>100/(B20/$D$9+C20/$D$11)</f>
        <v/>
      </c>
      <c r="R20" s="12">
        <f>100*(Q20-P20)/Q20</f>
        <v/>
      </c>
      <c r="S20" s="12">
        <f>100-P20*C20/$D$10</f>
        <v/>
      </c>
      <c r="T20" s="11">
        <f>100*(S20-R20)/S20</f>
        <v/>
      </c>
      <c r="U20" s="12">
        <f>B20-$D$12*C20/100</f>
        <v/>
      </c>
      <c r="V20" s="9" t="n">
        <v>523</v>
      </c>
      <c r="W20" s="11">
        <f>V20*I20</f>
        <v/>
      </c>
      <c r="X20" s="12">
        <f>W20*9.80665/1000</f>
        <v/>
      </c>
      <c r="Y20" s="10" t="n">
        <v>5.8</v>
      </c>
      <c r="Z20" s="14">
        <f>W20/(Y20/10)</f>
        <v/>
      </c>
      <c r="AA20" s="13">
        <f>J20/(PI()*$D$13^2/4*H20)</f>
        <v/>
      </c>
      <c r="AB20" s="12">
        <f>100*(K20-J20)/O20</f>
        <v/>
      </c>
    </row>
    <row r="21">
      <c r="A21" s="9" t="inlineStr">
        <is>
          <t>M5</t>
        </is>
      </c>
      <c r="B21" s="10" t="n">
        <v>10</v>
      </c>
      <c r="C21" s="11">
        <f>100-B21</f>
        <v/>
      </c>
      <c r="D21" s="9" t="n">
        <v>6.9</v>
      </c>
      <c r="E21" s="9" t="n">
        <v>6.9</v>
      </c>
      <c r="F21" s="9" t="n">
        <v>6.8</v>
      </c>
      <c r="G21" s="9" t="n">
        <v>6.8</v>
      </c>
      <c r="H21" s="12">
        <f>AVERAGE(D21:G21)</f>
        <v/>
      </c>
      <c r="I21" s="13">
        <f>INDEX(Factor_Altura!$B$2:$B$34,MATCH(H21*10,Factor_Altura!$A$2:$A$34,1))+(H21*10-INDEX(Factor_Altura!$A$2:$A$34,MATCH(H21*10,Factor_Altura!$A$2:$A$34,1)))*(INDEX(Factor_Altura!$B$2:$B$34,MATCH(H21*10,Factor_Altura!$A$2:$A$34,1)+1)-INDEX(Factor_Altura!$B$2:$B$34,MATCH(H21*10,Factor_Altura!$A$2:$A$34,1)))/(INDEX(Factor_Altura!$A$2:$A$34,MATCH(H21*10,Factor_Altura!$A$2:$A$34,1)+1)-INDEX(Factor_Altura!$A$2:$A$34,MATCH(H21*10,Factor_Altura!$A$2:$A$34,1)))</f>
        <v/>
      </c>
      <c r="J21" s="9" t="n">
        <v>1187</v>
      </c>
      <c r="K21" s="9" t="n">
        <v>1187</v>
      </c>
      <c r="L21" s="9" t="n">
        <v>640</v>
      </c>
      <c r="M21" s="9" t="n">
        <v>642</v>
      </c>
      <c r="N21" s="11">
        <f>AVERAGE(L21:M21)</f>
        <v/>
      </c>
      <c r="O21" s="11">
        <f>K21-N21</f>
        <v/>
      </c>
      <c r="P21" s="13">
        <f>J21/O21</f>
        <v/>
      </c>
      <c r="Q21" s="13">
        <f>100/(B21/$D$9+C21/$D$11)</f>
        <v/>
      </c>
      <c r="R21" s="12">
        <f>100*(Q21-P21)/Q21</f>
        <v/>
      </c>
      <c r="S21" s="12">
        <f>100-P21*C21/$D$10</f>
        <v/>
      </c>
      <c r="T21" s="11">
        <f>100*(S21-R21)/S21</f>
        <v/>
      </c>
      <c r="U21" s="12">
        <f>B21-$D$12*C21/100</f>
        <v/>
      </c>
      <c r="V21" s="9" t="n">
        <v>707.3</v>
      </c>
      <c r="W21" s="11">
        <f>V21*I21</f>
        <v/>
      </c>
      <c r="X21" s="12">
        <f>W21*9.80665/1000</f>
        <v/>
      </c>
      <c r="Y21" s="10" t="n">
        <v>6.7</v>
      </c>
      <c r="Z21" s="14">
        <f>W21/(Y21/10)</f>
        <v/>
      </c>
      <c r="AA21" s="13">
        <f>J21/(PI()*$D$13^2/4*H21)</f>
        <v/>
      </c>
      <c r="AB21" s="12">
        <f>100*(K21-J21)/O21</f>
        <v/>
      </c>
    </row>
    <row r="23">
      <c r="A23" s="3" t="inlineStr">
        <is>
          <t>VERIFICACIÓN POR BRIQUETA</t>
        </is>
      </c>
    </row>
    <row r="24">
      <c r="A24" s="8" t="inlineStr">
        <is>
          <t>Muestra</t>
        </is>
      </c>
      <c r="B24" s="8" t="inlineStr">
        <is>
          <t>Pb (%)</t>
        </is>
      </c>
      <c r="C24" s="8" t="inlineStr">
        <is>
          <t>Va 3-5 %</t>
        </is>
      </c>
      <c r="D24" s="8" t="inlineStr">
        <is>
          <t>VMA ≥ mín</t>
        </is>
      </c>
      <c r="E24" s="8" t="inlineStr">
        <is>
          <t>VFA 65-75 %</t>
        </is>
      </c>
      <c r="F24" s="8" t="inlineStr">
        <is>
          <t>Estab. ≥ mín</t>
        </is>
      </c>
      <c r="G24" s="8" t="inlineStr">
        <is>
          <t>Flujo 2-4 mm</t>
        </is>
      </c>
      <c r="H24" s="8" t="inlineStr">
        <is>
          <t>Estado</t>
        </is>
      </c>
    </row>
    <row r="25">
      <c r="A25" s="15">
        <f>A17</f>
        <v/>
      </c>
      <c r="B25" s="15">
        <f>B17</f>
        <v/>
      </c>
      <c r="C25" s="15">
        <f>IF(AND(R17&gt;=$J$11,R17&lt;=$K$11),"CUMPLE","NO")</f>
        <v/>
      </c>
      <c r="D25" s="15">
        <f>IF(S17&gt;=$J$12,"CUMPLE","NO")</f>
        <v/>
      </c>
      <c r="E25" s="15">
        <f>IF(AND(T17&gt;=$J$13,T17&lt;=$K$13),"CUMPLE","NO")</f>
        <v/>
      </c>
      <c r="F25" s="15">
        <f>IF(X17&gt;=$J$9,"CUMPLE","NO")</f>
        <v/>
      </c>
      <c r="G25" s="15">
        <f>IF(AND(Y17&gt;=$J$10,Y17&lt;=$K$10),"CUMPLE","NO")</f>
        <v/>
      </c>
      <c r="H25" s="15">
        <f>IF(COUNTIF(C25:G25,"NO")=0,"CUMPLE","NO CUMPLE")</f>
        <v/>
      </c>
    </row>
    <row r="26">
      <c r="A26" s="15">
        <f>A18</f>
        <v/>
      </c>
      <c r="B26" s="15">
        <f>B18</f>
        <v/>
      </c>
      <c r="C26" s="15">
        <f>IF(AND(R18&gt;=$J$11,R18&lt;=$K$11),"CUMPLE","NO")</f>
        <v/>
      </c>
      <c r="D26" s="15">
        <f>IF(S18&gt;=$J$12,"CUMPLE","NO")</f>
        <v/>
      </c>
      <c r="E26" s="15">
        <f>IF(AND(T18&gt;=$J$13,T18&lt;=$K$13),"CUMPLE","NO")</f>
        <v/>
      </c>
      <c r="F26" s="15">
        <f>IF(X18&gt;=$J$9,"CUMPLE","NO")</f>
        <v/>
      </c>
      <c r="G26" s="15">
        <f>IF(AND(Y18&gt;=$J$10,Y18&lt;=$K$10),"CUMPLE","NO")</f>
        <v/>
      </c>
      <c r="H26" s="15">
        <f>IF(COUNTIF(C26:G26,"NO")=0,"CUMPLE","NO CUMPLE")</f>
        <v/>
      </c>
    </row>
    <row r="27">
      <c r="A27" s="15">
        <f>A19</f>
        <v/>
      </c>
      <c r="B27" s="15">
        <f>B19</f>
        <v/>
      </c>
      <c r="C27" s="15">
        <f>IF(AND(R19&gt;=$J$11,R19&lt;=$K$11),"CUMPLE","NO")</f>
        <v/>
      </c>
      <c r="D27" s="15">
        <f>IF(S19&gt;=$J$12,"CUMPLE","NO")</f>
        <v/>
      </c>
      <c r="E27" s="15">
        <f>IF(AND(T19&gt;=$J$13,T19&lt;=$K$13),"CUMPLE","NO")</f>
        <v/>
      </c>
      <c r="F27" s="15">
        <f>IF(X19&gt;=$J$9,"CUMPLE","NO")</f>
        <v/>
      </c>
      <c r="G27" s="15">
        <f>IF(AND(Y19&gt;=$J$10,Y19&lt;=$K$10),"CUMPLE","NO")</f>
        <v/>
      </c>
      <c r="H27" s="15">
        <f>IF(COUNTIF(C27:G27,"NO")=0,"CUMPLE","NO CUMPLE")</f>
        <v/>
      </c>
    </row>
    <row r="28">
      <c r="A28" s="15">
        <f>A20</f>
        <v/>
      </c>
      <c r="B28" s="15">
        <f>B20</f>
        <v/>
      </c>
      <c r="C28" s="15">
        <f>IF(AND(R20&gt;=$J$11,R20&lt;=$K$11),"CUMPLE","NO")</f>
        <v/>
      </c>
      <c r="D28" s="15">
        <f>IF(S20&gt;=$J$12,"CUMPLE","NO")</f>
        <v/>
      </c>
      <c r="E28" s="15">
        <f>IF(AND(T20&gt;=$J$13,T20&lt;=$K$13),"CUMPLE","NO")</f>
        <v/>
      </c>
      <c r="F28" s="15">
        <f>IF(X20&gt;=$J$9,"CUMPLE","NO")</f>
        <v/>
      </c>
      <c r="G28" s="15">
        <f>IF(AND(Y20&gt;=$J$10,Y20&lt;=$K$10),"CUMPLE","NO")</f>
        <v/>
      </c>
      <c r="H28" s="15">
        <f>IF(COUNTIF(C28:G28,"NO")=0,"CUMPLE","NO CUMPLE")</f>
        <v/>
      </c>
    </row>
    <row r="29">
      <c r="A29" s="15">
        <f>A21</f>
        <v/>
      </c>
      <c r="B29" s="15">
        <f>B21</f>
        <v/>
      </c>
      <c r="C29" s="15">
        <f>IF(AND(R21&gt;=$J$11,R21&lt;=$K$11),"CUMPLE","NO")</f>
        <v/>
      </c>
      <c r="D29" s="15">
        <f>IF(S21&gt;=$J$12,"CUMPLE","NO")</f>
        <v/>
      </c>
      <c r="E29" s="15">
        <f>IF(AND(T21&gt;=$J$13,T21&lt;=$K$13),"CUMPLE","NO")</f>
        <v/>
      </c>
      <c r="F29" s="15">
        <f>IF(X21&gt;=$J$9,"CUMPLE","NO")</f>
        <v/>
      </c>
      <c r="G29" s="15">
        <f>IF(AND(Y21&gt;=$J$10,Y21&lt;=$K$10),"CUMPLE","NO")</f>
        <v/>
      </c>
      <c r="H29" s="15">
        <f>IF(COUNTIF(C29:G29,"NO")=0,"CUMPLE","NO CUMPLE")</f>
        <v/>
      </c>
    </row>
    <row r="31">
      <c r="A31" s="3" t="inlineStr">
        <is>
          <t>CONTENIDO ÓPTIMO DE ASFALTO (ajuste parabólico y = a·Pb² + b·Pb + c, criterio Instituto del Asfalto MS-2)</t>
        </is>
      </c>
    </row>
    <row r="32">
      <c r="A32" s="8" t="inlineStr">
        <is>
          <t>Propiedad</t>
        </is>
      </c>
      <c r="B32" s="8" t="inlineStr">
        <is>
          <t>a</t>
        </is>
      </c>
      <c r="C32" s="8" t="inlineStr">
        <is>
          <t>b</t>
        </is>
      </c>
      <c r="D32" s="8" t="inlineStr">
        <is>
          <t>c</t>
        </is>
      </c>
      <c r="E32" s="8" t="inlineStr">
        <is>
          <t>R²</t>
        </is>
      </c>
      <c r="F32" s="8" t="inlineStr">
        <is>
          <t>Pb criterio (%)</t>
        </is>
      </c>
      <c r="G32" s="8" t="inlineStr">
        <is>
          <t>Nota</t>
        </is>
      </c>
    </row>
    <row r="33">
      <c r="A33" s="16" t="inlineStr">
        <is>
          <t>Gmb</t>
        </is>
      </c>
      <c r="B33" s="17">
        <f>INDEX(LINEST($P$17:$P$21,$B$17:$B$21^{1,2}),1,1)</f>
        <v/>
      </c>
      <c r="C33" s="17">
        <f>INDEX(LINEST($P$17:$P$21,$B$17:$B$21^{1,2}),1,2)</f>
        <v/>
      </c>
      <c r="D33" s="18">
        <f>INDEX(LINEST($P$17:$P$21,$B$17:$B$21^{1,2}),1,3)</f>
        <v/>
      </c>
      <c r="E33" s="18">
        <f>INDEX(LINEST($P$17:$P$21,$B$17:$B$21^{1,2},TRUE,TRUE),3,1)</f>
        <v/>
      </c>
      <c r="F33" s="19">
        <f>IF(AND(B33&lt;0,-C33/(2*B33)&gt;=MIN($B$17:$B$21),-C33/(2*B33)&lt;=MAX($B$17:$B$21)),-C33/(2*B33),INDEX($B$17:$B$21,MATCH(MAX($P$17:$P$21),$P$17:$P$21,0)))</f>
        <v/>
      </c>
      <c r="G33" s="16">
        <f>IF(AND(B33&lt;0,-C33/(2*B33)&gt;=MIN($B$17:$B$21),-C33/(2*B33)&lt;=MAX($B$17:$B$21)),"Máximo de la parábola","Sin máximo interior: se toma el mayor Gmb medido")</f>
        <v/>
      </c>
    </row>
    <row r="34">
      <c r="A34" s="16" t="inlineStr">
        <is>
          <t>Va (%)</t>
        </is>
      </c>
      <c r="B34" s="17">
        <f>INDEX(LINEST($R$17:$R$21,$B$17:$B$21^{1,2}),1,1)</f>
        <v/>
      </c>
      <c r="C34" s="17">
        <f>INDEX(LINEST($R$17:$R$21,$B$17:$B$21^{1,2}),1,2)</f>
        <v/>
      </c>
      <c r="D34" s="18">
        <f>INDEX(LINEST($R$17:$R$21,$B$17:$B$21^{1,2}),1,3)</f>
        <v/>
      </c>
      <c r="E34" s="18">
        <f>INDEX(LINEST($R$17:$R$21,$B$17:$B$21^{1,2},TRUE,TRUE),3,1)</f>
        <v/>
      </c>
      <c r="F34" s="19">
        <f>IF((C34^2-4*B34*(D34-$J$14))&lt;0,"N/A",IF(AND(((-C34+SQRT((C34^2-4*B34*(D34-$J$14))))/(2*B34))&gt;=MIN($B$17:$B$21),((-C34+SQRT((C34^2-4*B34*(D34-$J$14))))/(2*B34))&lt;=MAX($B$17:$B$21)),((-C34+SQRT((C34^2-4*B34*(D34-$J$14))))/(2*B34)),IF(AND(((-C34-SQRT((C34^2-4*B34*(D34-$J$14))))/(2*B34))&gt;=MIN($B$17:$B$21),((-C34-SQRT((C34^2-4*B34*(D34-$J$14))))/(2*B34))&lt;=MAX($B$17:$B$21)),((-C34-SQRT((C34^2-4*B34*(D34-$J$14))))/(2*B34)),"N/A")))</f>
        <v/>
      </c>
      <c r="G34" s="16">
        <f>IF(ISNUMBER(F34),"Pb para Va objetivo","Va objetivo NO se alcanza en el rango ensayado (Va mín. medido = "&amp;TEXT(MIN($R$17:$R$21),"0.0")&amp;" %)")</f>
        <v/>
      </c>
    </row>
    <row r="35">
      <c r="A35" s="16" t="inlineStr">
        <is>
          <t>VMA (%)</t>
        </is>
      </c>
      <c r="B35" s="17">
        <f>INDEX(LINEST($S$17:$S$21,$B$17:$B$21^{1,2}),1,1)</f>
        <v/>
      </c>
      <c r="C35" s="17">
        <f>INDEX(LINEST($S$17:$S$21,$B$17:$B$21^{1,2}),1,2)</f>
        <v/>
      </c>
      <c r="D35" s="18">
        <f>INDEX(LINEST($S$17:$S$21,$B$17:$B$21^{1,2}),1,3)</f>
        <v/>
      </c>
      <c r="E35" s="18">
        <f>INDEX(LINEST($S$17:$S$21,$B$17:$B$21^{1,2},TRUE,TRUE),3,1)</f>
        <v/>
      </c>
      <c r="F35" s="16" t="n"/>
      <c r="G35" s="16" t="n"/>
    </row>
    <row r="36">
      <c r="A36" s="16" t="inlineStr">
        <is>
          <t>VFA (%)</t>
        </is>
      </c>
      <c r="B36" s="17">
        <f>INDEX(LINEST($T$17:$T$21,$B$17:$B$21^{1,2}),1,1)</f>
        <v/>
      </c>
      <c r="C36" s="17">
        <f>INDEX(LINEST($T$17:$T$21,$B$17:$B$21^{1,2}),1,2)</f>
        <v/>
      </c>
      <c r="D36" s="18">
        <f>INDEX(LINEST($T$17:$T$21,$B$17:$B$21^{1,2}),1,3)</f>
        <v/>
      </c>
      <c r="E36" s="18">
        <f>INDEX(LINEST($T$17:$T$21,$B$17:$B$21^{1,2},TRUE,TRUE),3,1)</f>
        <v/>
      </c>
      <c r="F36" s="16" t="n"/>
      <c r="G36" s="16" t="n"/>
    </row>
    <row r="37">
      <c r="A37" s="16" t="inlineStr">
        <is>
          <t>Estabilidad (kN)</t>
        </is>
      </c>
      <c r="B37" s="17">
        <f>INDEX(LINEST($X$17:$X$21,$B$17:$B$21^{1,2}),1,1)</f>
        <v/>
      </c>
      <c r="C37" s="17">
        <f>INDEX(LINEST($X$17:$X$21,$B$17:$B$21^{1,2}),1,2)</f>
        <v/>
      </c>
      <c r="D37" s="18">
        <f>INDEX(LINEST($X$17:$X$21,$B$17:$B$21^{1,2}),1,3)</f>
        <v/>
      </c>
      <c r="E37" s="18">
        <f>INDEX(LINEST($X$17:$X$21,$B$17:$B$21^{1,2},TRUE,TRUE),3,1)</f>
        <v/>
      </c>
      <c r="F37" s="19">
        <f>IF(AND(B37&lt;0,-C37/(2*B37)&gt;=MIN($B$17:$B$21),-C37/(2*B37)&lt;=MAX($B$17:$B$21)),-C37/(2*B37),INDEX($B$17:$B$21,MATCH(MAX($X$17:$X$21),$X$17:$X$21,0)))</f>
        <v/>
      </c>
      <c r="G37" s="16">
        <f>IF(AND(B37&lt;0,-C37/(2*B37)&gt;=MIN($B$17:$B$21),-C37/(2*B37)&lt;=MAX($B$17:$B$21)),"Máximo de la parábola","Sin máximo interior: se toma la mayor estabilidad medida")</f>
        <v/>
      </c>
    </row>
    <row r="38">
      <c r="A38" s="16" t="inlineStr">
        <is>
          <t>Flujo (mm)</t>
        </is>
      </c>
      <c r="B38" s="17">
        <f>INDEX(LINEST($Y$17:$Y$21,$B$17:$B$21^{1,2}),1,1)</f>
        <v/>
      </c>
      <c r="C38" s="17">
        <f>INDEX(LINEST($Y$17:$Y$21,$B$17:$B$21^{1,2}),1,2)</f>
        <v/>
      </c>
      <c r="D38" s="18">
        <f>INDEX(LINEST($Y$17:$Y$21,$B$17:$B$21^{1,2}),1,3)</f>
        <v/>
      </c>
      <c r="E38" s="18">
        <f>INDEX(LINEST($Y$17:$Y$21,$B$17:$B$21^{1,2},TRUE,TRUE),3,1)</f>
        <v/>
      </c>
      <c r="F38" s="16" t="n"/>
      <c r="G38" s="16" t="n"/>
    </row>
    <row r="40">
      <c r="A40" s="3" t="inlineStr">
        <is>
          <t>Pb óptimo calculado (promedio de criterios disponibles)</t>
        </is>
      </c>
      <c r="F40" s="20">
        <f>AVERAGE(F33,F37,F34)</f>
        <v/>
      </c>
      <c r="G40">
        <f>IF(ISNUMBER(F34),"Promedio de 3 criterios","PROVISIONAL: solo promedio de máx. Gmb y máx. estabilidad")</f>
        <v/>
      </c>
    </row>
    <row r="41">
      <c r="A41" s="3" t="inlineStr">
        <is>
          <t>Pb de diseño adoptado (editable; por defecto = calculado)</t>
        </is>
      </c>
      <c r="F41" s="21">
        <f>ROUND(F40*10,0)/10</f>
        <v/>
      </c>
    </row>
    <row r="43">
      <c r="A43" s="3" t="inlineStr">
        <is>
          <t>VERIFICACIÓN EN EL Pb DE DISEÑO (valores leídos de las curvas ajustadas)</t>
        </is>
      </c>
    </row>
    <row r="44">
      <c r="A44" s="8" t="inlineStr">
        <is>
          <t>Propiedad</t>
        </is>
      </c>
      <c r="B44" s="8" t="inlineStr">
        <is>
          <t>Valor</t>
        </is>
      </c>
      <c r="C44" s="8" t="inlineStr">
        <is>
          <t>Especificación</t>
        </is>
      </c>
      <c r="D44" s="8" t="inlineStr">
        <is>
          <t>Resultado</t>
        </is>
      </c>
    </row>
    <row r="45">
      <c r="A45" s="15" t="inlineStr">
        <is>
          <t>Gmb</t>
        </is>
      </c>
      <c r="B45" s="13">
        <f>B33*$F$41^2+C33*$F$41+D33</f>
        <v/>
      </c>
      <c r="C45" s="15" t="inlineStr">
        <is>
          <t>-</t>
        </is>
      </c>
      <c r="D45" s="15">
        <f>"-"</f>
        <v/>
      </c>
    </row>
    <row r="46">
      <c r="A46" s="15" t="inlineStr">
        <is>
          <t>Va (%)</t>
        </is>
      </c>
      <c r="B46" s="12">
        <f>B34*$F$41^2+C34*$F$41+D34</f>
        <v/>
      </c>
      <c r="C46" s="15">
        <f>TEXT($J$11,"0")&amp;" - "&amp;TEXT($K$11,"0")&amp;" %"</f>
        <v/>
      </c>
      <c r="D46" s="15">
        <f>IF(AND(B46&gt;=$J$11,B46&lt;=$K$11),"CUMPLE","NO CUMPLE")</f>
        <v/>
      </c>
    </row>
    <row r="47">
      <c r="A47" s="15" t="inlineStr">
        <is>
          <t>VMA (%)</t>
        </is>
      </c>
      <c r="B47" s="12">
        <f>B35*$F$41^2+C35*$F$41+D35</f>
        <v/>
      </c>
      <c r="C47" s="15">
        <f>"≥ "&amp;TEXT($J$12,"0")&amp;" %"</f>
        <v/>
      </c>
      <c r="D47" s="15">
        <f>IF(B47&gt;=$J$12,"CUMPLE","NO CUMPLE")</f>
        <v/>
      </c>
    </row>
    <row r="48">
      <c r="A48" s="15" t="inlineStr">
        <is>
          <t>VFA (%)</t>
        </is>
      </c>
      <c r="B48" s="11">
        <f>B36*$F$41^2+C36*$F$41+D36</f>
        <v/>
      </c>
      <c r="C48" s="15">
        <f>TEXT($J$13,"0")&amp;" - "&amp;TEXT($K$13,"0")&amp;" %"</f>
        <v/>
      </c>
      <c r="D48" s="15">
        <f>IF(AND(B48&gt;=$J$13,B48&lt;=$K$13),"CUMPLE","NO CUMPLE")</f>
        <v/>
      </c>
    </row>
    <row r="49">
      <c r="A49" s="15" t="inlineStr">
        <is>
          <t>Estabilidad (kN)</t>
        </is>
      </c>
      <c r="B49" s="12">
        <f>B37*$F$41^2+C37*$F$41+D37</f>
        <v/>
      </c>
      <c r="C49" s="15">
        <f>"≥ "&amp;TEXT($J$9,"0.00")&amp;" kN"</f>
        <v/>
      </c>
      <c r="D49" s="15">
        <f>IF(B49&gt;=$J$9,"CUMPLE","NO CUMPLE")</f>
        <v/>
      </c>
    </row>
    <row r="50">
      <c r="A50" s="15" t="inlineStr">
        <is>
          <t>Flujo (mm)</t>
        </is>
      </c>
      <c r="B50" s="12">
        <f>B38*$F$41^2+C38*$F$41+D38</f>
        <v/>
      </c>
      <c r="C50" s="15">
        <f>TEXT($J$10,"0")&amp;" - "&amp;TEXT($K$10,"0")&amp;" mm"</f>
        <v/>
      </c>
      <c r="D50" s="15">
        <f>IF(AND(B50&gt;=$J$10,B50&lt;=$K$10),"CUMPLE","NO CUMPLE")</f>
        <v/>
      </c>
    </row>
    <row r="52">
      <c r="A52" s="3" t="inlineStr">
        <is>
          <t>Observaciones:</t>
        </is>
      </c>
    </row>
    <row r="53">
      <c r="A53" t="inlineStr">
        <is>
          <t>1. Gmb por desplazamiento con peso SSS (MTC E 514): Gmb = Seco / (SSS - Sumergido promedio).</t>
        </is>
      </c>
    </row>
    <row r="54">
      <c r="A54" t="inlineStr">
        <is>
          <t>2. Gmm teórica calculada con Gse referencial: Gmm = 100 / (Pb/Gb + Ps/Gse). Reemplazar por Rice (MTC E 508) si se ejecuta.</t>
        </is>
      </c>
    </row>
    <row r="55">
      <c r="A55" t="inlineStr">
        <is>
          <t>3. Estabilidad corregida por altura con el factor de la hoja Factor_Altura (interpolación lineal).</t>
        </is>
      </c>
    </row>
    <row r="56">
      <c r="A56" t="inlineStr">
        <is>
          <t>4. La asociación de lecturas de estabilidad M1-M5 es provisional (secuencia cronológica) y el flujo fue inferido; confirmar con registro original.</t>
        </is>
      </c>
    </row>
    <row r="57">
      <c r="A57" t="inlineStr">
        <is>
          <t>5. Una sola briqueta por contenido de asfalto: la norma recomienda 3 por punto.</t>
        </is>
      </c>
    </row>
    <row r="58">
      <c r="A58" t="inlineStr">
        <is>
          <t>6. Revisión de datos: M1 da Gmb = 2.021, menor que su densidad geométrica (2.161); el volumen por desplazamiento no puede superar al geométrico. Verificar pesos SSS y sumergidos de M1.</t>
        </is>
      </c>
    </row>
    <row r="59">
      <c r="A59" t="inlineStr">
        <is>
          <t>7. Va medido entre 10.6 % y 22.6 % en todo el rango: no se alcanza Va 3-5 %, por lo que el Pb óptimo es PROVISIONAL. Revisar Gse/Gmm (ensayo Rice MTC E 508) y la compactación.</t>
        </is>
      </c>
    </row>
    <row r="60">
      <c r="A60" t="inlineStr">
        <is>
          <t>8. Contenidos de asfalto no equiespaciados (5.5, 6.0, 6.5, 8.0, 10.0 %): confirmar con el registro original de laboratorio.</t>
        </is>
      </c>
    </row>
  </sheetData>
  <mergeCells count="13">
    <mergeCell ref="A10:C10"/>
    <mergeCell ref="A13:C13"/>
    <mergeCell ref="A11:C11"/>
    <mergeCell ref="G10:I10"/>
    <mergeCell ref="G14:I14"/>
    <mergeCell ref="A1:Z1"/>
    <mergeCell ref="G13:I13"/>
    <mergeCell ref="A9:C9"/>
    <mergeCell ref="G9:I9"/>
    <mergeCell ref="A2:Z2"/>
    <mergeCell ref="G12:I12"/>
    <mergeCell ref="A12:C12"/>
    <mergeCell ref="G11:I11"/>
  </mergeCells>
  <conditionalFormatting sqref="C25:H29">
    <cfRule type="cellIs" priority="1" operator="equal" dxfId="0">
      <formula>"CUMPLE"</formula>
    </cfRule>
    <cfRule type="cellIs" priority="2" operator="notEqual" dxfId="1">
      <formula>"CUMPLE"</formula>
    </cfRule>
  </conditionalFormatting>
  <conditionalFormatting sqref="D46:D50">
    <cfRule type="cellIs" priority="3" operator="equal" dxfId="0">
      <formula>"CUMPLE"</formula>
    </cfRule>
    <cfRule type="cellIs" priority="4" operator="equal" dxfId="1">
      <formula>"NO CUMPLE"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DISEÑO DE MEZCLAS ASFÁLTICAS EN CALIENTE - GRÁFICAS MARSHALL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AB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6" customWidth="1" min="4" max="4"/>
    <col width="6" customWidth="1" min="5" max="5"/>
    <col width="6" customWidth="1" min="6" max="6"/>
    <col width="9" customWidth="1" min="7" max="7"/>
    <col width="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8" customWidth="1" min="16" max="16"/>
    <col width="8" customWidth="1" min="17" max="17"/>
    <col width="7" customWidth="1" min="18" max="18"/>
    <col width="7" customWidth="1" min="19" max="19"/>
    <col width="7" customWidth="1" min="20" max="20"/>
    <col width="7" customWidth="1" min="21" max="21"/>
    <col width="9" customWidth="1" min="22" max="22"/>
    <col width="10" customWidth="1" min="23" max="23"/>
    <col width="9" customWidth="1" min="24" max="24"/>
    <col width="7" customWidth="1" min="25" max="25"/>
    <col width="9" customWidth="1" min="26" max="26"/>
    <col width="9" customWidth="1" min="27" max="27"/>
    <col width="9" customWidth="1" min="28" max="28"/>
  </cols>
  <sheetData>
    <row r="1">
      <c r="A1" s="1" t="inlineStr">
        <is>
          <t>LABORATORIO DE ASFALTOS</t>
        </is>
      </c>
    </row>
    <row r="2">
      <c r="A2" s="2" t="inlineStr">
        <is>
          <t>DISEÑO DE MEZCLAS ASFÁLTICAS EN CALIENTE - MÉTODO MARSHALL</t>
        </is>
      </c>
    </row>
    <row r="3">
      <c r="A3" s="3" t="inlineStr">
        <is>
          <t>Proyecto:</t>
        </is>
      </c>
      <c r="C3" t="inlineStr">
        <is>
          <t>EJEMPLO ILUSTRATIVO con datos simulados (no es el ensayo del grupo)</t>
        </is>
      </c>
    </row>
    <row r="4">
      <c r="A4" s="3" t="inlineStr">
        <is>
          <t>Mezcla:</t>
        </is>
      </c>
      <c r="C4" t="inlineStr">
        <is>
          <t>MAC-2 típica (valores supuestos)</t>
        </is>
      </c>
    </row>
    <row r="5">
      <c r="A5" s="3" t="inlineStr">
        <is>
          <t>C.A.:</t>
        </is>
      </c>
      <c r="C5" t="inlineStr">
        <is>
          <t>PEN 120-150 (Gb supuesto)</t>
        </is>
      </c>
    </row>
    <row r="6">
      <c r="A6" s="3" t="inlineStr">
        <is>
          <t>Compactación:</t>
        </is>
      </c>
      <c r="C6" t="inlineStr">
        <is>
          <t>50 golpes por cara</t>
        </is>
      </c>
    </row>
    <row r="7">
      <c r="A7" s="23" t="inlineStr">
        <is>
          <t>EJEMPLO ILUSTRATIVO – DATOS SIMULADOS, NO CORRESPONDEN AL ENSAYO</t>
        </is>
      </c>
    </row>
    <row r="8">
      <c r="A8" s="3" t="inlineStr">
        <is>
          <t>PARÁMETROS DE DISEÑO (celdas amarillas editables)</t>
        </is>
      </c>
      <c r="G8" s="3" t="inlineStr">
        <is>
          <t>ESPECIFICACIONES (EG-2013, Clase B)</t>
        </is>
      </c>
      <c r="J8" s="4" t="inlineStr">
        <is>
          <t>Mín.</t>
        </is>
      </c>
      <c r="K8" s="4" t="inlineStr">
        <is>
          <t>Máx.</t>
        </is>
      </c>
    </row>
    <row r="9">
      <c r="A9" t="inlineStr">
        <is>
          <t>Gb  - Peso específico del asfalto</t>
        </is>
      </c>
      <c r="D9" s="5" t="n">
        <v>1.023</v>
      </c>
      <c r="G9" t="inlineStr">
        <is>
          <t>Estabilidad mínima (kN)</t>
        </is>
      </c>
      <c r="J9" s="6" t="n">
        <v>5.44</v>
      </c>
    </row>
    <row r="10">
      <c r="A10" t="inlineStr">
        <is>
          <t>Gsb - Peso esp. bulk agregado combinado</t>
        </is>
      </c>
      <c r="D10" s="5" t="n">
        <v>2.565</v>
      </c>
      <c r="G10" t="inlineStr">
        <is>
          <t>Flujo (mm)</t>
        </is>
      </c>
      <c r="J10" s="6" t="n">
        <v>2</v>
      </c>
      <c r="K10" s="6" t="n">
        <v>4</v>
      </c>
    </row>
    <row r="11">
      <c r="A11" t="inlineStr">
        <is>
          <t>Gse - Peso esp. efectivo del agregado</t>
        </is>
      </c>
      <c r="D11" s="5" t="n">
        <v>2.66</v>
      </c>
      <c r="G11" t="inlineStr">
        <is>
          <t>Vacíos de aire Va (%)</t>
        </is>
      </c>
      <c r="J11" s="6" t="n">
        <v>3</v>
      </c>
      <c r="K11" s="6" t="n">
        <v>5</v>
      </c>
    </row>
    <row r="12">
      <c r="A12" t="inlineStr">
        <is>
          <t>Pba - % asfalto absorbido (% peso agregado)</t>
        </is>
      </c>
      <c r="D12" s="7">
        <f>100*D9*(D11-D10)/(D10*D11)</f>
        <v/>
      </c>
      <c r="G12" t="inlineStr">
        <is>
          <t>VMA mínimo (%) - TMN 12.5 mm</t>
        </is>
      </c>
      <c r="J12" s="6" t="n">
        <v>14</v>
      </c>
    </row>
    <row r="13">
      <c r="A13" t="inlineStr">
        <is>
          <t>Diámetro de briqueta (cm)</t>
        </is>
      </c>
      <c r="D13" s="5" t="n">
        <v>10.16</v>
      </c>
      <c r="G13" t="inlineStr">
        <is>
          <t>VFA (%)</t>
        </is>
      </c>
      <c r="J13" s="6" t="n">
        <v>65</v>
      </c>
      <c r="K13" s="6" t="n">
        <v>75</v>
      </c>
    </row>
    <row r="14">
      <c r="G14" t="inlineStr">
        <is>
          <t>Va objetivo para óptimo (%)</t>
        </is>
      </c>
      <c r="J14" s="6" t="n">
        <v>4</v>
      </c>
    </row>
    <row r="16" ht="42" customHeight="1">
      <c r="A16" s="8" t="inlineStr">
        <is>
          <t>Muestra</t>
        </is>
      </c>
      <c r="B16" s="8" t="inlineStr">
        <is>
          <t>Pb
(%)</t>
        </is>
      </c>
      <c r="C16" s="8" t="inlineStr">
        <is>
          <t>Ps
(%)</t>
        </is>
      </c>
      <c r="D16" s="8" t="inlineStr">
        <is>
          <t>h1
(cm)</t>
        </is>
      </c>
      <c r="E16" s="8" t="inlineStr">
        <is>
          <t>h2
(cm)</t>
        </is>
      </c>
      <c r="F16" s="8" t="inlineStr">
        <is>
          <t>h3
(cm)</t>
        </is>
      </c>
      <c r="G16" s="8" t="inlineStr">
        <is>
          <t>h4
(cm)</t>
        </is>
      </c>
      <c r="H16" s="8" t="inlineStr">
        <is>
          <t>h prom.
(cm)</t>
        </is>
      </c>
      <c r="I16" s="8" t="inlineStr">
        <is>
          <t>Factor
correc.</t>
        </is>
      </c>
      <c r="J16" s="8" t="inlineStr">
        <is>
          <t>Peso seco
aire (g)</t>
        </is>
      </c>
      <c r="K16" s="8" t="inlineStr">
        <is>
          <t>Peso SSS
(g)</t>
        </is>
      </c>
      <c r="L16" s="8" t="inlineStr">
        <is>
          <t>Sumerg. 1
(g)</t>
        </is>
      </c>
      <c r="M16" s="8" t="inlineStr">
        <is>
          <t>Sumerg. 2
(g)</t>
        </is>
      </c>
      <c r="N16" s="8" t="inlineStr">
        <is>
          <t>Sumerg.
prom. (g)</t>
        </is>
      </c>
      <c r="O16" s="8" t="inlineStr">
        <is>
          <t>Vol.
bulk (cc)</t>
        </is>
      </c>
      <c r="P16" s="8" t="inlineStr">
        <is>
          <t>Gmb</t>
        </is>
      </c>
      <c r="Q16" s="8" t="inlineStr">
        <is>
          <t>Gmm
teórica</t>
        </is>
      </c>
      <c r="R16" s="8" t="inlineStr">
        <is>
          <t>Va
(%)</t>
        </is>
      </c>
      <c r="S16" s="8" t="inlineStr">
        <is>
          <t>VMA
(%)</t>
        </is>
      </c>
      <c r="T16" s="8" t="inlineStr">
        <is>
          <t>VFA
(%)</t>
        </is>
      </c>
      <c r="U16" s="8" t="inlineStr">
        <is>
          <t>Pbe
(%)</t>
        </is>
      </c>
      <c r="V16" s="8" t="inlineStr">
        <is>
          <t>Estab.
leída (kg)</t>
        </is>
      </c>
      <c r="W16" s="8" t="inlineStr">
        <is>
          <t>Estab.
correg. (kg)</t>
        </is>
      </c>
      <c r="X16" s="8" t="inlineStr">
        <is>
          <t>Estab.
correg. (kN)</t>
        </is>
      </c>
      <c r="Y16" s="8" t="inlineStr">
        <is>
          <t>Flujo
(mm)</t>
        </is>
      </c>
      <c r="Z16" s="8" t="inlineStr">
        <is>
          <t>Est./Flujo
(kg/cm)</t>
        </is>
      </c>
      <c r="AA16" s="8" t="inlineStr">
        <is>
          <t>Densidad
geom.</t>
        </is>
      </c>
      <c r="AB16" s="8" t="inlineStr">
        <is>
          <t>Absorción
agua (%)</t>
        </is>
      </c>
    </row>
    <row r="17">
      <c r="A17" s="9" t="inlineStr">
        <is>
          <t>S1</t>
        </is>
      </c>
      <c r="B17" s="10" t="n">
        <v>5.0</v>
      </c>
      <c r="C17" s="11">
        <f>100-B17</f>
        <v/>
      </c>
      <c r="D17" s="9" t="n">
        <v>6.53</v>
      </c>
      <c r="E17" s="9" t="n">
        <v>6.52</v>
      </c>
      <c r="F17" s="9" t="n">
        <v>6.49</v>
      </c>
      <c r="G17" s="9" t="n">
        <v>6.49</v>
      </c>
      <c r="H17" s="12">
        <f>AVERAGE(D17:G17)</f>
        <v/>
      </c>
      <c r="I17" s="13">
        <f>INDEX(Factor_Altura!$B$2:$B$34,MATCH(H17*10,Factor_Altura!$A$2:$A$34,1))+(H17*10-INDEX(Factor_Altura!$A$2:$A$34,MATCH(H17*10,Factor_Altura!$A$2:$A$34,1)))*(INDEX(Factor_Altura!$B$2:$B$34,MATCH(H17*10,Factor_Altura!$A$2:$A$34,1)+1)-INDEX(Factor_Altura!$B$2:$B$34,MATCH(H17*10,Factor_Altura!$A$2:$A$34,1)))/(INDEX(Factor_Altura!$A$2:$A$34,MATCH(H17*10,Factor_Altura!$A$2:$A$34,1)+1)-INDEX(Factor_Altura!$A$2:$A$34,MATCH(H17*10,Factor_Altura!$A$2:$A$34,1)))</f>
        <v/>
      </c>
      <c r="J17" s="9" t="n">
        <v>1204.5</v>
      </c>
      <c r="K17" s="9" t="n">
        <v>1206.1</v>
      </c>
      <c r="L17" s="9" t="n">
        <v>685.3</v>
      </c>
      <c r="M17" s="9" t="n">
        <v>684.7</v>
      </c>
      <c r="N17" s="11">
        <f>AVERAGE(L17:M17)</f>
        <v/>
      </c>
      <c r="O17" s="11">
        <f>K17-N17</f>
        <v/>
      </c>
      <c r="P17" s="13">
        <f>J17/O17</f>
        <v/>
      </c>
      <c r="Q17" s="13">
        <f>100/(B17/$D$9+C17/$D$11)</f>
        <v/>
      </c>
      <c r="R17" s="12">
        <f>100*(Q17-P17)/Q17</f>
        <v/>
      </c>
      <c r="S17" s="12">
        <f>100-P17*C17/$D$10</f>
        <v/>
      </c>
      <c r="T17" s="11">
        <f>100*(S17-R17)/S17</f>
        <v/>
      </c>
      <c r="U17" s="12">
        <f>B17-$D$12*C17/100</f>
        <v/>
      </c>
      <c r="V17" s="9" t="n">
        <v>985.2</v>
      </c>
      <c r="W17" s="11">
        <f>V17*I17</f>
        <v/>
      </c>
      <c r="X17" s="12">
        <f>W17*9.80665/1000</f>
        <v/>
      </c>
      <c r="Y17" s="10" t="n">
        <v>2.5</v>
      </c>
      <c r="Z17" s="14">
        <f>W17/(Y17/10)</f>
        <v/>
      </c>
      <c r="AA17" s="13">
        <f>J17/(PI()*$D$13^2/4*H17)</f>
        <v/>
      </c>
      <c r="AB17" s="12">
        <f>100*(K17-J17)/O17</f>
        <v/>
      </c>
    </row>
    <row r="18">
      <c r="A18" s="9" t="inlineStr">
        <is>
          <t>S2</t>
        </is>
      </c>
      <c r="B18" s="10" t="n">
        <v>5.0</v>
      </c>
      <c r="C18" s="11">
        <f>100-B18</f>
        <v/>
      </c>
      <c r="D18" s="9" t="n">
        <v>6.46</v>
      </c>
      <c r="E18" s="9" t="n">
        <v>6.48</v>
      </c>
      <c r="F18" s="9" t="n">
        <v>6.48</v>
      </c>
      <c r="G18" s="9" t="n">
        <v>6.48</v>
      </c>
      <c r="H18" s="12">
        <f>AVERAGE(D18:G18)</f>
        <v/>
      </c>
      <c r="I18" s="13">
        <f>INDEX(Factor_Altura!$B$2:$B$34,MATCH(H18*10,Factor_Altura!$A$2:$A$34,1))+(H18*10-INDEX(Factor_Altura!$A$2:$A$34,MATCH(H18*10,Factor_Altura!$A$2:$A$34,1)))*(INDEX(Factor_Altura!$B$2:$B$34,MATCH(H18*10,Factor_Altura!$A$2:$A$34,1)+1)-INDEX(Factor_Altura!$B$2:$B$34,MATCH(H18*10,Factor_Altura!$A$2:$A$34,1)))/(INDEX(Factor_Altura!$A$2:$A$34,MATCH(H18*10,Factor_Altura!$A$2:$A$34,1)+1)-INDEX(Factor_Altura!$A$2:$A$34,MATCH(H18*10,Factor_Altura!$A$2:$A$34,1)))</f>
        <v/>
      </c>
      <c r="J18" s="9" t="n">
        <v>1205.9</v>
      </c>
      <c r="K18" s="9" t="n">
        <v>1207.2</v>
      </c>
      <c r="L18" s="9" t="n">
        <v>684.6</v>
      </c>
      <c r="M18" s="9" t="n">
        <v>683.8</v>
      </c>
      <c r="N18" s="11">
        <f>AVERAGE(L18:M18)</f>
        <v/>
      </c>
      <c r="O18" s="11">
        <f>K18-N18</f>
        <v/>
      </c>
      <c r="P18" s="13">
        <f>J18/O18</f>
        <v/>
      </c>
      <c r="Q18" s="13">
        <f>100/(B18/$D$9+C18/$D$11)</f>
        <v/>
      </c>
      <c r="R18" s="12">
        <f>100*(Q18-P18)/Q18</f>
        <v/>
      </c>
      <c r="S18" s="12">
        <f>100-P18*C18/$D$10</f>
        <v/>
      </c>
      <c r="T18" s="11">
        <f>100*(S18-R18)/S18</f>
        <v/>
      </c>
      <c r="U18" s="12">
        <f>B18-$D$12*C18/100</f>
        <v/>
      </c>
      <c r="V18" s="9" t="n">
        <v>960.9</v>
      </c>
      <c r="W18" s="11">
        <f>V18*I18</f>
        <v/>
      </c>
      <c r="X18" s="12">
        <f>W18*9.80665/1000</f>
        <v/>
      </c>
      <c r="Y18" s="10" t="n">
        <v>2.5</v>
      </c>
      <c r="Z18" s="14">
        <f>W18/(Y18/10)</f>
        <v/>
      </c>
      <c r="AA18" s="13">
        <f>J18/(PI()*$D$13^2/4*H18)</f>
        <v/>
      </c>
      <c r="AB18" s="12">
        <f>100*(K18-J18)/O18</f>
        <v/>
      </c>
    </row>
    <row r="19">
      <c r="A19" s="9" t="inlineStr">
        <is>
          <t>S3</t>
        </is>
      </c>
      <c r="B19" s="10" t="n">
        <v>5.0</v>
      </c>
      <c r="C19" s="11">
        <f>100-B19</f>
        <v/>
      </c>
      <c r="D19" s="9" t="n">
        <v>6.48</v>
      </c>
      <c r="E19" s="9" t="n">
        <v>6.48</v>
      </c>
      <c r="F19" s="9" t="n">
        <v>6.5</v>
      </c>
      <c r="G19" s="9" t="n">
        <v>6.5</v>
      </c>
      <c r="H19" s="12">
        <f>AVERAGE(D19:G19)</f>
        <v/>
      </c>
      <c r="I19" s="13">
        <f>INDEX(Factor_Altura!$B$2:$B$34,MATCH(H19*10,Factor_Altura!$A$2:$A$34,1))+(H19*10-INDEX(Factor_Altura!$A$2:$A$34,MATCH(H19*10,Factor_Altura!$A$2:$A$34,1)))*(INDEX(Factor_Altura!$B$2:$B$34,MATCH(H19*10,Factor_Altura!$A$2:$A$34,1)+1)-INDEX(Factor_Altura!$B$2:$B$34,MATCH(H19*10,Factor_Altura!$A$2:$A$34,1)))/(INDEX(Factor_Altura!$A$2:$A$34,MATCH(H19*10,Factor_Altura!$A$2:$A$34,1)+1)-INDEX(Factor_Altura!$A$2:$A$34,MATCH(H19*10,Factor_Altura!$A$2:$A$34,1)))</f>
        <v/>
      </c>
      <c r="J19" s="9" t="n">
        <v>1205.0</v>
      </c>
      <c r="K19" s="9" t="n">
        <v>1206.2</v>
      </c>
      <c r="L19" s="9" t="n">
        <v>684.1</v>
      </c>
      <c r="M19" s="9" t="n">
        <v>683.6</v>
      </c>
      <c r="N19" s="11">
        <f>AVERAGE(L19:M19)</f>
        <v/>
      </c>
      <c r="O19" s="11">
        <f>K19-N19</f>
        <v/>
      </c>
      <c r="P19" s="13">
        <f>J19/O19</f>
        <v/>
      </c>
      <c r="Q19" s="13">
        <f>100/(B19/$D$9+C19/$D$11)</f>
        <v/>
      </c>
      <c r="R19" s="12">
        <f>100*(Q19-P19)/Q19</f>
        <v/>
      </c>
      <c r="S19" s="12">
        <f>100-P19*C19/$D$10</f>
        <v/>
      </c>
      <c r="T19" s="11">
        <f>100*(S19-R19)/S19</f>
        <v/>
      </c>
      <c r="U19" s="12">
        <f>B19-$D$12*C19/100</f>
        <v/>
      </c>
      <c r="V19" s="9" t="n">
        <v>966.7</v>
      </c>
      <c r="W19" s="11">
        <f>V19*I19</f>
        <v/>
      </c>
      <c r="X19" s="12">
        <f>W19*9.80665/1000</f>
        <v/>
      </c>
      <c r="Y19" s="10" t="n">
        <v>2.5</v>
      </c>
      <c r="Z19" s="14">
        <f>W19/(Y19/10)</f>
        <v/>
      </c>
      <c r="AA19" s="13">
        <f>J19/(PI()*$D$13^2/4*H19)</f>
        <v/>
      </c>
      <c r="AB19" s="12">
        <f>100*(K19-J19)/O19</f>
        <v/>
      </c>
    </row>
    <row r="20">
      <c r="A20" s="9" t="inlineStr">
        <is>
          <t>S4</t>
        </is>
      </c>
      <c r="B20" s="10" t="n">
        <v>5.5</v>
      </c>
      <c r="C20" s="11">
        <f>100-B20</f>
        <v/>
      </c>
      <c r="D20" s="9" t="n">
        <v>6.48</v>
      </c>
      <c r="E20" s="9" t="n">
        <v>6.46</v>
      </c>
      <c r="F20" s="9" t="n">
        <v>6.47</v>
      </c>
      <c r="G20" s="9" t="n">
        <v>6.44</v>
      </c>
      <c r="H20" s="12">
        <f>AVERAGE(D20:G20)</f>
        <v/>
      </c>
      <c r="I20" s="13">
        <f>INDEX(Factor_Altura!$B$2:$B$34,MATCH(H20*10,Factor_Altura!$A$2:$A$34,1))+(H20*10-INDEX(Factor_Altura!$A$2:$A$34,MATCH(H20*10,Factor_Altura!$A$2:$A$34,1)))*(INDEX(Factor_Altura!$B$2:$B$34,MATCH(H20*10,Factor_Altura!$A$2:$A$34,1)+1)-INDEX(Factor_Altura!$B$2:$B$34,MATCH(H20*10,Factor_Altura!$A$2:$A$34,1)))/(INDEX(Factor_Altura!$A$2:$A$34,MATCH(H20*10,Factor_Altura!$A$2:$A$34,1)+1)-INDEX(Factor_Altura!$A$2:$A$34,MATCH(H20*10,Factor_Altura!$A$2:$A$34,1)))</f>
        <v/>
      </c>
      <c r="J20" s="9" t="n">
        <v>1204.0</v>
      </c>
      <c r="K20" s="9" t="n">
        <v>1204.9</v>
      </c>
      <c r="L20" s="9" t="n">
        <v>687.4</v>
      </c>
      <c r="M20" s="9" t="n">
        <v>686.7</v>
      </c>
      <c r="N20" s="11">
        <f>AVERAGE(L20:M20)</f>
        <v/>
      </c>
      <c r="O20" s="11">
        <f>K20-N20</f>
        <v/>
      </c>
      <c r="P20" s="13">
        <f>J20/O20</f>
        <v/>
      </c>
      <c r="Q20" s="13">
        <f>100/(B20/$D$9+C20/$D$11)</f>
        <v/>
      </c>
      <c r="R20" s="12">
        <f>100*(Q20-P20)/Q20</f>
        <v/>
      </c>
      <c r="S20" s="12">
        <f>100-P20*C20/$D$10</f>
        <v/>
      </c>
      <c r="T20" s="11">
        <f>100*(S20-R20)/S20</f>
        <v/>
      </c>
      <c r="U20" s="12">
        <f>B20-$D$12*C20/100</f>
        <v/>
      </c>
      <c r="V20" s="9" t="n">
        <v>1070.8</v>
      </c>
      <c r="W20" s="11">
        <f>V20*I20</f>
        <v/>
      </c>
      <c r="X20" s="12">
        <f>W20*9.80665/1000</f>
        <v/>
      </c>
      <c r="Y20" s="10" t="n">
        <v>3.0</v>
      </c>
      <c r="Z20" s="14">
        <f>W20/(Y20/10)</f>
        <v/>
      </c>
      <c r="AA20" s="13">
        <f>J20/(PI()*$D$13^2/4*H20)</f>
        <v/>
      </c>
      <c r="AB20" s="12">
        <f>100*(K20-J20)/O20</f>
        <v/>
      </c>
    </row>
    <row r="21">
      <c r="A21" s="9" t="inlineStr">
        <is>
          <t>S5</t>
        </is>
      </c>
      <c r="B21" s="10" t="n">
        <v>5.5</v>
      </c>
      <c r="C21" s="11">
        <f>100-B21</f>
        <v/>
      </c>
      <c r="D21" s="9" t="n">
        <v>6.52</v>
      </c>
      <c r="E21" s="9" t="n">
        <v>6.48</v>
      </c>
      <c r="F21" s="9" t="n">
        <v>6.51</v>
      </c>
      <c r="G21" s="9" t="n">
        <v>6.51</v>
      </c>
      <c r="H21" s="12">
        <f>AVERAGE(D21:G21)</f>
        <v/>
      </c>
      <c r="I21" s="13">
        <f>INDEX(Factor_Altura!$B$2:$B$34,MATCH(H21*10,Factor_Altura!$A$2:$A$34,1))+(H21*10-INDEX(Factor_Altura!$A$2:$A$34,MATCH(H21*10,Factor_Altura!$A$2:$A$34,1)))*(INDEX(Factor_Altura!$B$2:$B$34,MATCH(H21*10,Factor_Altura!$A$2:$A$34,1)+1)-INDEX(Factor_Altura!$B$2:$B$34,MATCH(H21*10,Factor_Altura!$A$2:$A$34,1)))/(INDEX(Factor_Altura!$A$2:$A$34,MATCH(H21*10,Factor_Altura!$A$2:$A$34,1)+1)-INDEX(Factor_Altura!$A$2:$A$34,MATCH(H21*10,Factor_Altura!$A$2:$A$34,1)))</f>
        <v/>
      </c>
      <c r="J21" s="9" t="n">
        <v>1204.5</v>
      </c>
      <c r="K21" s="9" t="n">
        <v>1205.8</v>
      </c>
      <c r="L21" s="9" t="n">
        <v>687.5</v>
      </c>
      <c r="M21" s="9" t="n">
        <v>687.3</v>
      </c>
      <c r="N21" s="11">
        <f>AVERAGE(L21:M21)</f>
        <v/>
      </c>
      <c r="O21" s="11">
        <f>K21-N21</f>
        <v/>
      </c>
      <c r="P21" s="13">
        <f>J21/O21</f>
        <v/>
      </c>
      <c r="Q21" s="13">
        <f>100/(B21/$D$9+C21/$D$11)</f>
        <v/>
      </c>
      <c r="R21" s="12">
        <f>100*(Q21-P21)/Q21</f>
        <v/>
      </c>
      <c r="S21" s="12">
        <f>100-P21*C21/$D$10</f>
        <v/>
      </c>
      <c r="T21" s="11">
        <f>100*(S21-R21)/S21</f>
        <v/>
      </c>
      <c r="U21" s="12">
        <f>B21-$D$12*C21/100</f>
        <v/>
      </c>
      <c r="V21" s="9" t="n">
        <v>1074.9</v>
      </c>
      <c r="W21" s="11">
        <f>V21*I21</f>
        <v/>
      </c>
      <c r="X21" s="12">
        <f>W21*9.80665/1000</f>
        <v/>
      </c>
      <c r="Y21" s="10" t="n">
        <v>2.8</v>
      </c>
      <c r="Z21" s="14">
        <f>W21/(Y21/10)</f>
        <v/>
      </c>
      <c r="AA21" s="13">
        <f>J21/(PI()*$D$13^2/4*H21)</f>
        <v/>
      </c>
      <c r="AB21" s="12">
        <f>100*(K21-J21)/O21</f>
        <v/>
      </c>
    </row>
    <row r="22">
      <c r="A22" s="9" t="inlineStr">
        <is>
          <t>S6</t>
        </is>
      </c>
      <c r="B22" s="10" t="n">
        <v>5.5</v>
      </c>
      <c r="C22" s="11">
        <f>100-B22</f>
        <v/>
      </c>
      <c r="D22" s="9" t="n">
        <v>6.49</v>
      </c>
      <c r="E22" s="9" t="n">
        <v>6.46</v>
      </c>
      <c r="F22" s="9" t="n">
        <v>6.5</v>
      </c>
      <c r="G22" s="9" t="n">
        <v>6.48</v>
      </c>
      <c r="H22" s="12">
        <f>AVERAGE(D22:G22)</f>
        <v/>
      </c>
      <c r="I22" s="13">
        <f>INDEX(Factor_Altura!$B$2:$B$34,MATCH(H22*10,Factor_Altura!$A$2:$A$34,1))+(H22*10-INDEX(Factor_Altura!$A$2:$A$34,MATCH(H22*10,Factor_Altura!$A$2:$A$34,1)))*(INDEX(Factor_Altura!$B$2:$B$34,MATCH(H22*10,Factor_Altura!$A$2:$A$34,1)+1)-INDEX(Factor_Altura!$B$2:$B$34,MATCH(H22*10,Factor_Altura!$A$2:$A$34,1)))/(INDEX(Factor_Altura!$A$2:$A$34,MATCH(H22*10,Factor_Altura!$A$2:$A$34,1)+1)-INDEX(Factor_Altura!$A$2:$A$34,MATCH(H22*10,Factor_Altura!$A$2:$A$34,1)))</f>
        <v/>
      </c>
      <c r="J22" s="9" t="n">
        <v>1201.3</v>
      </c>
      <c r="K22" s="9" t="n">
        <v>1202.7</v>
      </c>
      <c r="L22" s="9" t="n">
        <v>685.4</v>
      </c>
      <c r="M22" s="9" t="n">
        <v>685.1</v>
      </c>
      <c r="N22" s="11">
        <f>AVERAGE(L22:M22)</f>
        <v/>
      </c>
      <c r="O22" s="11">
        <f>K22-N22</f>
        <v/>
      </c>
      <c r="P22" s="13">
        <f>J22/O22</f>
        <v/>
      </c>
      <c r="Q22" s="13">
        <f>100/(B22/$D$9+C22/$D$11)</f>
        <v/>
      </c>
      <c r="R22" s="12">
        <f>100*(Q22-P22)/Q22</f>
        <v/>
      </c>
      <c r="S22" s="12">
        <f>100-P22*C22/$D$10</f>
        <v/>
      </c>
      <c r="T22" s="11">
        <f>100*(S22-R22)/S22</f>
        <v/>
      </c>
      <c r="U22" s="12">
        <f>B22-$D$12*C22/100</f>
        <v/>
      </c>
      <c r="V22" s="9" t="n">
        <v>1072.0</v>
      </c>
      <c r="W22" s="11">
        <f>V22*I22</f>
        <v/>
      </c>
      <c r="X22" s="12">
        <f>W22*9.80665/1000</f>
        <v/>
      </c>
      <c r="Y22" s="10" t="n">
        <v>2.8</v>
      </c>
      <c r="Z22" s="14">
        <f>W22/(Y22/10)</f>
        <v/>
      </c>
      <c r="AA22" s="13">
        <f>J22/(PI()*$D$13^2/4*H22)</f>
        <v/>
      </c>
      <c r="AB22" s="12">
        <f>100*(K22-J22)/O22</f>
        <v/>
      </c>
    </row>
    <row r="23">
      <c r="A23" s="9" t="inlineStr">
        <is>
          <t>S7</t>
        </is>
      </c>
      <c r="B23" s="10" t="n">
        <v>6.0</v>
      </c>
      <c r="C23" s="11">
        <f>100-B23</f>
        <v/>
      </c>
      <c r="D23" s="9" t="n">
        <v>6.46</v>
      </c>
      <c r="E23" s="9" t="n">
        <v>6.52</v>
      </c>
      <c r="F23" s="9" t="n">
        <v>6.47</v>
      </c>
      <c r="G23" s="9" t="n">
        <v>6.5</v>
      </c>
      <c r="H23" s="12">
        <f>AVERAGE(D23:G23)</f>
        <v/>
      </c>
      <c r="I23" s="13">
        <f>INDEX(Factor_Altura!$B$2:$B$34,MATCH(H23*10,Factor_Altura!$A$2:$A$34,1))+(H23*10-INDEX(Factor_Altura!$A$2:$A$34,MATCH(H23*10,Factor_Altura!$A$2:$A$34,1)))*(INDEX(Factor_Altura!$B$2:$B$34,MATCH(H23*10,Factor_Altura!$A$2:$A$34,1)+1)-INDEX(Factor_Altura!$B$2:$B$34,MATCH(H23*10,Factor_Altura!$A$2:$A$34,1)))/(INDEX(Factor_Altura!$A$2:$A$34,MATCH(H23*10,Factor_Altura!$A$2:$A$34,1)+1)-INDEX(Factor_Altura!$A$2:$A$34,MATCH(H23*10,Factor_Altura!$A$2:$A$34,1)))</f>
        <v/>
      </c>
      <c r="J23" s="9" t="n">
        <v>1197.6</v>
      </c>
      <c r="K23" s="9" t="n">
        <v>1199.0</v>
      </c>
      <c r="L23" s="9" t="n">
        <v>684.8</v>
      </c>
      <c r="M23" s="9" t="n">
        <v>684.5</v>
      </c>
      <c r="N23" s="11">
        <f>AVERAGE(L23:M23)</f>
        <v/>
      </c>
      <c r="O23" s="11">
        <f>K23-N23</f>
        <v/>
      </c>
      <c r="P23" s="13">
        <f>J23/O23</f>
        <v/>
      </c>
      <c r="Q23" s="13">
        <f>100/(B23/$D$9+C23/$D$11)</f>
        <v/>
      </c>
      <c r="R23" s="12">
        <f>100*(Q23-P23)/Q23</f>
        <v/>
      </c>
      <c r="S23" s="12">
        <f>100-P23*C23/$D$10</f>
        <v/>
      </c>
      <c r="T23" s="11">
        <f>100*(S23-R23)/S23</f>
        <v/>
      </c>
      <c r="U23" s="12">
        <f>B23-$D$12*C23/100</f>
        <v/>
      </c>
      <c r="V23" s="9" t="n">
        <v>1130.7</v>
      </c>
      <c r="W23" s="11">
        <f>V23*I23</f>
        <v/>
      </c>
      <c r="X23" s="12">
        <f>W23*9.80665/1000</f>
        <v/>
      </c>
      <c r="Y23" s="10" t="n">
        <v>3.3</v>
      </c>
      <c r="Z23" s="14">
        <f>W23/(Y23/10)</f>
        <v/>
      </c>
      <c r="AA23" s="13">
        <f>J23/(PI()*$D$13^2/4*H23)</f>
        <v/>
      </c>
      <c r="AB23" s="12">
        <f>100*(K23-J23)/O23</f>
        <v/>
      </c>
    </row>
    <row r="24">
      <c r="A24" s="9" t="inlineStr">
        <is>
          <t>S8</t>
        </is>
      </c>
      <c r="B24" s="10" t="n">
        <v>6.0</v>
      </c>
      <c r="C24" s="11">
        <f>100-B24</f>
        <v/>
      </c>
      <c r="D24" s="9" t="n">
        <v>6.53</v>
      </c>
      <c r="E24" s="9" t="n">
        <v>6.5</v>
      </c>
      <c r="F24" s="9" t="n">
        <v>6.5</v>
      </c>
      <c r="G24" s="9" t="n">
        <v>6.55</v>
      </c>
      <c r="H24" s="12">
        <f>AVERAGE(D24:G24)</f>
        <v/>
      </c>
      <c r="I24" s="13">
        <f>INDEX(Factor_Altura!$B$2:$B$34,MATCH(H24*10,Factor_Altura!$A$2:$A$34,1))+(H24*10-INDEX(Factor_Altura!$A$2:$A$34,MATCH(H24*10,Factor_Altura!$A$2:$A$34,1)))*(INDEX(Factor_Altura!$B$2:$B$34,MATCH(H24*10,Factor_Altura!$A$2:$A$34,1)+1)-INDEX(Factor_Altura!$B$2:$B$34,MATCH(H24*10,Factor_Altura!$A$2:$A$34,1)))/(INDEX(Factor_Altura!$A$2:$A$34,MATCH(H24*10,Factor_Altura!$A$2:$A$34,1)+1)-INDEX(Factor_Altura!$A$2:$A$34,MATCH(H24*10,Factor_Altura!$A$2:$A$34,1)))</f>
        <v/>
      </c>
      <c r="J24" s="9" t="n">
        <v>1200.6</v>
      </c>
      <c r="K24" s="9" t="n">
        <v>1202.3</v>
      </c>
      <c r="L24" s="9" t="n">
        <v>688.1</v>
      </c>
      <c r="M24" s="9" t="n">
        <v>687.5</v>
      </c>
      <c r="N24" s="11">
        <f>AVERAGE(L24:M24)</f>
        <v/>
      </c>
      <c r="O24" s="11">
        <f>K24-N24</f>
        <v/>
      </c>
      <c r="P24" s="13">
        <f>J24/O24</f>
        <v/>
      </c>
      <c r="Q24" s="13">
        <f>100/(B24/$D$9+C24/$D$11)</f>
        <v/>
      </c>
      <c r="R24" s="12">
        <f>100*(Q24-P24)/Q24</f>
        <v/>
      </c>
      <c r="S24" s="12">
        <f>100-P24*C24/$D$10</f>
        <v/>
      </c>
      <c r="T24" s="11">
        <f>100*(S24-R24)/S24</f>
        <v/>
      </c>
      <c r="U24" s="12">
        <f>B24-$D$12*C24/100</f>
        <v/>
      </c>
      <c r="V24" s="9" t="n">
        <v>1121.9</v>
      </c>
      <c r="W24" s="11">
        <f>V24*I24</f>
        <v/>
      </c>
      <c r="X24" s="12">
        <f>W24*9.80665/1000</f>
        <v/>
      </c>
      <c r="Y24" s="10" t="n">
        <v>3.2</v>
      </c>
      <c r="Z24" s="14">
        <f>W24/(Y24/10)</f>
        <v/>
      </c>
      <c r="AA24" s="13">
        <f>J24/(PI()*$D$13^2/4*H24)</f>
        <v/>
      </c>
      <c r="AB24" s="12">
        <f>100*(K24-J24)/O24</f>
        <v/>
      </c>
    </row>
    <row r="25">
      <c r="A25" s="9" t="inlineStr">
        <is>
          <t>S9</t>
        </is>
      </c>
      <c r="B25" s="10" t="n">
        <v>6.0</v>
      </c>
      <c r="C25" s="11">
        <f>100-B25</f>
        <v/>
      </c>
      <c r="D25" s="9" t="n">
        <v>6.47</v>
      </c>
      <c r="E25" s="9" t="n">
        <v>6.46</v>
      </c>
      <c r="F25" s="9" t="n">
        <v>6.51</v>
      </c>
      <c r="G25" s="9" t="n">
        <v>6.49</v>
      </c>
      <c r="H25" s="12">
        <f>AVERAGE(D25:G25)</f>
        <v/>
      </c>
      <c r="I25" s="13">
        <f>INDEX(Factor_Altura!$B$2:$B$34,MATCH(H25*10,Factor_Altura!$A$2:$A$34,1))+(H25*10-INDEX(Factor_Altura!$A$2:$A$34,MATCH(H25*10,Factor_Altura!$A$2:$A$34,1)))*(INDEX(Factor_Altura!$B$2:$B$34,MATCH(H25*10,Factor_Altura!$A$2:$A$34,1)+1)-INDEX(Factor_Altura!$B$2:$B$34,MATCH(H25*10,Factor_Altura!$A$2:$A$34,1)))/(INDEX(Factor_Altura!$A$2:$A$34,MATCH(H25*10,Factor_Altura!$A$2:$A$34,1)+1)-INDEX(Factor_Altura!$A$2:$A$34,MATCH(H25*10,Factor_Altura!$A$2:$A$34,1)))</f>
        <v/>
      </c>
      <c r="J25" s="9" t="n">
        <v>1200.6</v>
      </c>
      <c r="K25" s="9" t="n">
        <v>1202.1</v>
      </c>
      <c r="L25" s="9" t="n">
        <v>687.5</v>
      </c>
      <c r="M25" s="9" t="n">
        <v>687.2</v>
      </c>
      <c r="N25" s="11">
        <f>AVERAGE(L25:M25)</f>
        <v/>
      </c>
      <c r="O25" s="11">
        <f>K25-N25</f>
        <v/>
      </c>
      <c r="P25" s="13">
        <f>J25/O25</f>
        <v/>
      </c>
      <c r="Q25" s="13">
        <f>100/(B25/$D$9+C25/$D$11)</f>
        <v/>
      </c>
      <c r="R25" s="12">
        <f>100*(Q25-P25)/Q25</f>
        <v/>
      </c>
      <c r="S25" s="12">
        <f>100-P25*C25/$D$10</f>
        <v/>
      </c>
      <c r="T25" s="11">
        <f>100*(S25-R25)/S25</f>
        <v/>
      </c>
      <c r="U25" s="12">
        <f>B25-$D$12*C25/100</f>
        <v/>
      </c>
      <c r="V25" s="9" t="n">
        <v>1099.3</v>
      </c>
      <c r="W25" s="11">
        <f>V25*I25</f>
        <v/>
      </c>
      <c r="X25" s="12">
        <f>W25*9.80665/1000</f>
        <v/>
      </c>
      <c r="Y25" s="10" t="n">
        <v>3.1</v>
      </c>
      <c r="Z25" s="14">
        <f>W25/(Y25/10)</f>
        <v/>
      </c>
      <c r="AA25" s="13">
        <f>J25/(PI()*$D$13^2/4*H25)</f>
        <v/>
      </c>
      <c r="AB25" s="12">
        <f>100*(K25-J25)/O25</f>
        <v/>
      </c>
    </row>
    <row r="26">
      <c r="A26" s="9" t="inlineStr">
        <is>
          <t>S10</t>
        </is>
      </c>
      <c r="B26" s="10" t="n">
        <v>6.5</v>
      </c>
      <c r="C26" s="11">
        <f>100-B26</f>
        <v/>
      </c>
      <c r="D26" s="9" t="n">
        <v>6.5</v>
      </c>
      <c r="E26" s="9" t="n">
        <v>6.48</v>
      </c>
      <c r="F26" s="9" t="n">
        <v>6.46</v>
      </c>
      <c r="G26" s="9" t="n">
        <v>6.47</v>
      </c>
      <c r="H26" s="12">
        <f>AVERAGE(D26:G26)</f>
        <v/>
      </c>
      <c r="I26" s="13">
        <f>INDEX(Factor_Altura!$B$2:$B$34,MATCH(H26*10,Factor_Altura!$A$2:$A$34,1))+(H26*10-INDEX(Factor_Altura!$A$2:$A$34,MATCH(H26*10,Factor_Altura!$A$2:$A$34,1)))*(INDEX(Factor_Altura!$B$2:$B$34,MATCH(H26*10,Factor_Altura!$A$2:$A$34,1)+1)-INDEX(Factor_Altura!$B$2:$B$34,MATCH(H26*10,Factor_Altura!$A$2:$A$34,1)))/(INDEX(Factor_Altura!$A$2:$A$34,MATCH(H26*10,Factor_Altura!$A$2:$A$34,1)+1)-INDEX(Factor_Altura!$A$2:$A$34,MATCH(H26*10,Factor_Altura!$A$2:$A$34,1)))</f>
        <v/>
      </c>
      <c r="J26" s="9" t="n">
        <v>1204.5</v>
      </c>
      <c r="K26" s="9" t="n">
        <v>1205.8</v>
      </c>
      <c r="L26" s="9" t="n">
        <v>689.9</v>
      </c>
      <c r="M26" s="9" t="n">
        <v>689.3</v>
      </c>
      <c r="N26" s="11">
        <f>AVERAGE(L26:M26)</f>
        <v/>
      </c>
      <c r="O26" s="11">
        <f>K26-N26</f>
        <v/>
      </c>
      <c r="P26" s="13">
        <f>J26/O26</f>
        <v/>
      </c>
      <c r="Q26" s="13">
        <f>100/(B26/$D$9+C26/$D$11)</f>
        <v/>
      </c>
      <c r="R26" s="12">
        <f>100*(Q26-P26)/Q26</f>
        <v/>
      </c>
      <c r="S26" s="12">
        <f>100-P26*C26/$D$10</f>
        <v/>
      </c>
      <c r="T26" s="11">
        <f>100*(S26-R26)/S26</f>
        <v/>
      </c>
      <c r="U26" s="12">
        <f>B26-$D$12*C26/100</f>
        <v/>
      </c>
      <c r="V26" s="9" t="n">
        <v>1044.2</v>
      </c>
      <c r="W26" s="11">
        <f>V26*I26</f>
        <v/>
      </c>
      <c r="X26" s="12">
        <f>W26*9.80665/1000</f>
        <v/>
      </c>
      <c r="Y26" s="10" t="n">
        <v>3.6</v>
      </c>
      <c r="Z26" s="14">
        <f>W26/(Y26/10)</f>
        <v/>
      </c>
      <c r="AA26" s="13">
        <f>J26/(PI()*$D$13^2/4*H26)</f>
        <v/>
      </c>
      <c r="AB26" s="12">
        <f>100*(K26-J26)/O26</f>
        <v/>
      </c>
    </row>
    <row r="27">
      <c r="A27" s="9" t="inlineStr">
        <is>
          <t>S11</t>
        </is>
      </c>
      <c r="B27" s="10" t="n">
        <v>6.5</v>
      </c>
      <c r="C27" s="11">
        <f>100-B27</f>
        <v/>
      </c>
      <c r="D27" s="9" t="n">
        <v>6.54</v>
      </c>
      <c r="E27" s="9" t="n">
        <v>6.49</v>
      </c>
      <c r="F27" s="9" t="n">
        <v>6.54</v>
      </c>
      <c r="G27" s="9" t="n">
        <v>6.48</v>
      </c>
      <c r="H27" s="12">
        <f>AVERAGE(D27:G27)</f>
        <v/>
      </c>
      <c r="I27" s="13">
        <f>INDEX(Factor_Altura!$B$2:$B$34,MATCH(H27*10,Factor_Altura!$A$2:$A$34,1))+(H27*10-INDEX(Factor_Altura!$A$2:$A$34,MATCH(H27*10,Factor_Altura!$A$2:$A$34,1)))*(INDEX(Factor_Altura!$B$2:$B$34,MATCH(H27*10,Factor_Altura!$A$2:$A$34,1)+1)-INDEX(Factor_Altura!$B$2:$B$34,MATCH(H27*10,Factor_Altura!$A$2:$A$34,1)))/(INDEX(Factor_Altura!$A$2:$A$34,MATCH(H27*10,Factor_Altura!$A$2:$A$34,1)+1)-INDEX(Factor_Altura!$A$2:$A$34,MATCH(H27*10,Factor_Altura!$A$2:$A$34,1)))</f>
        <v/>
      </c>
      <c r="J27" s="9" t="n">
        <v>1203.0</v>
      </c>
      <c r="K27" s="9" t="n">
        <v>1203.8</v>
      </c>
      <c r="L27" s="9" t="n">
        <v>687.7</v>
      </c>
      <c r="M27" s="9" t="n">
        <v>687.3</v>
      </c>
      <c r="N27" s="11">
        <f>AVERAGE(L27:M27)</f>
        <v/>
      </c>
      <c r="O27" s="11">
        <f>K27-N27</f>
        <v/>
      </c>
      <c r="P27" s="13">
        <f>J27/O27</f>
        <v/>
      </c>
      <c r="Q27" s="13">
        <f>100/(B27/$D$9+C27/$D$11)</f>
        <v/>
      </c>
      <c r="R27" s="12">
        <f>100*(Q27-P27)/Q27</f>
        <v/>
      </c>
      <c r="S27" s="12">
        <f>100-P27*C27/$D$10</f>
        <v/>
      </c>
      <c r="T27" s="11">
        <f>100*(S27-R27)/S27</f>
        <v/>
      </c>
      <c r="U27" s="12">
        <f>B27-$D$12*C27/100</f>
        <v/>
      </c>
      <c r="V27" s="9" t="n">
        <v>1082.8</v>
      </c>
      <c r="W27" s="11">
        <f>V27*I27</f>
        <v/>
      </c>
      <c r="X27" s="12">
        <f>W27*9.80665/1000</f>
        <v/>
      </c>
      <c r="Y27" s="10" t="n">
        <v>3.5</v>
      </c>
      <c r="Z27" s="14">
        <f>W27/(Y27/10)</f>
        <v/>
      </c>
      <c r="AA27" s="13">
        <f>J27/(PI()*$D$13^2/4*H27)</f>
        <v/>
      </c>
      <c r="AB27" s="12">
        <f>100*(K27-J27)/O27</f>
        <v/>
      </c>
    </row>
    <row r="28">
      <c r="A28" s="9" t="inlineStr">
        <is>
          <t>S12</t>
        </is>
      </c>
      <c r="B28" s="10" t="n">
        <v>6.5</v>
      </c>
      <c r="C28" s="11">
        <f>100-B28</f>
        <v/>
      </c>
      <c r="D28" s="9" t="n">
        <v>6.52</v>
      </c>
      <c r="E28" s="9" t="n">
        <v>6.5</v>
      </c>
      <c r="F28" s="9" t="n">
        <v>6.52</v>
      </c>
      <c r="G28" s="9" t="n">
        <v>6.49</v>
      </c>
      <c r="H28" s="12">
        <f>AVERAGE(D28:G28)</f>
        <v/>
      </c>
      <c r="I28" s="13">
        <f>INDEX(Factor_Altura!$B$2:$B$34,MATCH(H28*10,Factor_Altura!$A$2:$A$34,1))+(H28*10-INDEX(Factor_Altura!$A$2:$A$34,MATCH(H28*10,Factor_Altura!$A$2:$A$34,1)))*(INDEX(Factor_Altura!$B$2:$B$34,MATCH(H28*10,Factor_Altura!$A$2:$A$34,1)+1)-INDEX(Factor_Altura!$B$2:$B$34,MATCH(H28*10,Factor_Altura!$A$2:$A$34,1)))/(INDEX(Factor_Altura!$A$2:$A$34,MATCH(H28*10,Factor_Altura!$A$2:$A$34,1)+1)-INDEX(Factor_Altura!$A$2:$A$34,MATCH(H28*10,Factor_Altura!$A$2:$A$34,1)))</f>
        <v/>
      </c>
      <c r="J28" s="9" t="n">
        <v>1196.4</v>
      </c>
      <c r="K28" s="9" t="n">
        <v>1197.2</v>
      </c>
      <c r="L28" s="9" t="n">
        <v>684.6</v>
      </c>
      <c r="M28" s="9" t="n">
        <v>684.2</v>
      </c>
      <c r="N28" s="11">
        <f>AVERAGE(L28:M28)</f>
        <v/>
      </c>
      <c r="O28" s="11">
        <f>K28-N28</f>
        <v/>
      </c>
      <c r="P28" s="13">
        <f>J28/O28</f>
        <v/>
      </c>
      <c r="Q28" s="13">
        <f>100/(B28/$D$9+C28/$D$11)</f>
        <v/>
      </c>
      <c r="R28" s="12">
        <f>100*(Q28-P28)/Q28</f>
        <v/>
      </c>
      <c r="S28" s="12">
        <f>100-P28*C28/$D$10</f>
        <v/>
      </c>
      <c r="T28" s="11">
        <f>100*(S28-R28)/S28</f>
        <v/>
      </c>
      <c r="U28" s="12">
        <f>B28-$D$12*C28/100</f>
        <v/>
      </c>
      <c r="V28" s="9" t="n">
        <v>1090.1</v>
      </c>
      <c r="W28" s="11">
        <f>V28*I28</f>
        <v/>
      </c>
      <c r="X28" s="12">
        <f>W28*9.80665/1000</f>
        <v/>
      </c>
      <c r="Y28" s="10" t="n">
        <v>3.6</v>
      </c>
      <c r="Z28" s="14">
        <f>W28/(Y28/10)</f>
        <v/>
      </c>
      <c r="AA28" s="13">
        <f>J28/(PI()*$D$13^2/4*H28)</f>
        <v/>
      </c>
      <c r="AB28" s="12">
        <f>100*(K28-J28)/O28</f>
        <v/>
      </c>
    </row>
    <row r="29">
      <c r="A29" s="9" t="inlineStr">
        <is>
          <t>S13</t>
        </is>
      </c>
      <c r="B29" s="10" t="n">
        <v>7.0</v>
      </c>
      <c r="C29" s="11">
        <f>100-B29</f>
        <v/>
      </c>
      <c r="D29" s="9" t="n">
        <v>6.47</v>
      </c>
      <c r="E29" s="9" t="n">
        <v>6.51</v>
      </c>
      <c r="F29" s="9" t="n">
        <v>6.48</v>
      </c>
      <c r="G29" s="9" t="n">
        <v>6.51</v>
      </c>
      <c r="H29" s="12">
        <f>AVERAGE(D29:G29)</f>
        <v/>
      </c>
      <c r="I29" s="13">
        <f>INDEX(Factor_Altura!$B$2:$B$34,MATCH(H29*10,Factor_Altura!$A$2:$A$34,1))+(H29*10-INDEX(Factor_Altura!$A$2:$A$34,MATCH(H29*10,Factor_Altura!$A$2:$A$34,1)))*(INDEX(Factor_Altura!$B$2:$B$34,MATCH(H29*10,Factor_Altura!$A$2:$A$34,1)+1)-INDEX(Factor_Altura!$B$2:$B$34,MATCH(H29*10,Factor_Altura!$A$2:$A$34,1)))/(INDEX(Factor_Altura!$A$2:$A$34,MATCH(H29*10,Factor_Altura!$A$2:$A$34,1)+1)-INDEX(Factor_Altura!$A$2:$A$34,MATCH(H29*10,Factor_Altura!$A$2:$A$34,1)))</f>
        <v/>
      </c>
      <c r="J29" s="9" t="n">
        <v>1200.2</v>
      </c>
      <c r="K29" s="9" t="n">
        <v>1201.9</v>
      </c>
      <c r="L29" s="9" t="n">
        <v>686.5</v>
      </c>
      <c r="M29" s="9" t="n">
        <v>685.9</v>
      </c>
      <c r="N29" s="11">
        <f>AVERAGE(L29:M29)</f>
        <v/>
      </c>
      <c r="O29" s="11">
        <f>K29-N29</f>
        <v/>
      </c>
      <c r="P29" s="13">
        <f>J29/O29</f>
        <v/>
      </c>
      <c r="Q29" s="13">
        <f>100/(B29/$D$9+C29/$D$11)</f>
        <v/>
      </c>
      <c r="R29" s="12">
        <f>100*(Q29-P29)/Q29</f>
        <v/>
      </c>
      <c r="S29" s="12">
        <f>100-P29*C29/$D$10</f>
        <v/>
      </c>
      <c r="T29" s="11">
        <f>100*(S29-R29)/S29</f>
        <v/>
      </c>
      <c r="U29" s="12">
        <f>B29-$D$12*C29/100</f>
        <v/>
      </c>
      <c r="V29" s="9" t="n">
        <v>967.3</v>
      </c>
      <c r="W29" s="11">
        <f>V29*I29</f>
        <v/>
      </c>
      <c r="X29" s="12">
        <f>W29*9.80665/1000</f>
        <v/>
      </c>
      <c r="Y29" s="10" t="n">
        <v>4.0</v>
      </c>
      <c r="Z29" s="14">
        <f>W29/(Y29/10)</f>
        <v/>
      </c>
      <c r="AA29" s="13">
        <f>J29/(PI()*$D$13^2/4*H29)</f>
        <v/>
      </c>
      <c r="AB29" s="12">
        <f>100*(K29-J29)/O29</f>
        <v/>
      </c>
    </row>
    <row r="30">
      <c r="A30" s="9" t="inlineStr">
        <is>
          <t>S14</t>
        </is>
      </c>
      <c r="B30" s="10" t="n">
        <v>7.0</v>
      </c>
      <c r="C30" s="11">
        <f>100-B30</f>
        <v/>
      </c>
      <c r="D30" s="9" t="n">
        <v>6.52</v>
      </c>
      <c r="E30" s="9" t="n">
        <v>6.55</v>
      </c>
      <c r="F30" s="9" t="n">
        <v>6.5</v>
      </c>
      <c r="G30" s="9" t="n">
        <v>6.52</v>
      </c>
      <c r="H30" s="12">
        <f>AVERAGE(D30:G30)</f>
        <v/>
      </c>
      <c r="I30" s="13">
        <f>INDEX(Factor_Altura!$B$2:$B$34,MATCH(H30*10,Factor_Altura!$A$2:$A$34,1))+(H30*10-INDEX(Factor_Altura!$A$2:$A$34,MATCH(H30*10,Factor_Altura!$A$2:$A$34,1)))*(INDEX(Factor_Altura!$B$2:$B$34,MATCH(H30*10,Factor_Altura!$A$2:$A$34,1)+1)-INDEX(Factor_Altura!$B$2:$B$34,MATCH(H30*10,Factor_Altura!$A$2:$A$34,1)))/(INDEX(Factor_Altura!$A$2:$A$34,MATCH(H30*10,Factor_Altura!$A$2:$A$34,1)+1)-INDEX(Factor_Altura!$A$2:$A$34,MATCH(H30*10,Factor_Altura!$A$2:$A$34,1)))</f>
        <v/>
      </c>
      <c r="J30" s="9" t="n">
        <v>1200.2</v>
      </c>
      <c r="K30" s="9" t="n">
        <v>1201.1</v>
      </c>
      <c r="L30" s="9" t="n">
        <v>685.1</v>
      </c>
      <c r="M30" s="9" t="n">
        <v>684.4</v>
      </c>
      <c r="N30" s="11">
        <f>AVERAGE(L30:M30)</f>
        <v/>
      </c>
      <c r="O30" s="11">
        <f>K30-N30</f>
        <v/>
      </c>
      <c r="P30" s="13">
        <f>J30/O30</f>
        <v/>
      </c>
      <c r="Q30" s="13">
        <f>100/(B30/$D$9+C30/$D$11)</f>
        <v/>
      </c>
      <c r="R30" s="12">
        <f>100*(Q30-P30)/Q30</f>
        <v/>
      </c>
      <c r="S30" s="12">
        <f>100-P30*C30/$D$10</f>
        <v/>
      </c>
      <c r="T30" s="11">
        <f>100*(S30-R30)/S30</f>
        <v/>
      </c>
      <c r="U30" s="12">
        <f>B30-$D$12*C30/100</f>
        <v/>
      </c>
      <c r="V30" s="9" t="n">
        <v>980.2</v>
      </c>
      <c r="W30" s="11">
        <f>V30*I30</f>
        <v/>
      </c>
      <c r="X30" s="12">
        <f>W30*9.80665/1000</f>
        <v/>
      </c>
      <c r="Y30" s="10" t="n">
        <v>4.1</v>
      </c>
      <c r="Z30" s="14">
        <f>W30/(Y30/10)</f>
        <v/>
      </c>
      <c r="AA30" s="13">
        <f>J30/(PI()*$D$13^2/4*H30)</f>
        <v/>
      </c>
      <c r="AB30" s="12">
        <f>100*(K30-J30)/O30</f>
        <v/>
      </c>
    </row>
    <row r="31">
      <c r="A31" s="9" t="inlineStr">
        <is>
          <t>S15</t>
        </is>
      </c>
      <c r="B31" s="10" t="n">
        <v>7.0</v>
      </c>
      <c r="C31" s="11">
        <f>100-B31</f>
        <v/>
      </c>
      <c r="D31" s="9" t="n">
        <v>6.53</v>
      </c>
      <c r="E31" s="9" t="n">
        <v>6.49</v>
      </c>
      <c r="F31" s="9" t="n">
        <v>6.5</v>
      </c>
      <c r="G31" s="9" t="n">
        <v>6.49</v>
      </c>
      <c r="H31" s="12">
        <f>AVERAGE(D31:G31)</f>
        <v/>
      </c>
      <c r="I31" s="13">
        <f>INDEX(Factor_Altura!$B$2:$B$34,MATCH(H31*10,Factor_Altura!$A$2:$A$34,1))+(H31*10-INDEX(Factor_Altura!$A$2:$A$34,MATCH(H31*10,Factor_Altura!$A$2:$A$34,1)))*(INDEX(Factor_Altura!$B$2:$B$34,MATCH(H31*10,Factor_Altura!$A$2:$A$34,1)+1)-INDEX(Factor_Altura!$B$2:$B$34,MATCH(H31*10,Factor_Altura!$A$2:$A$34,1)))/(INDEX(Factor_Altura!$A$2:$A$34,MATCH(H31*10,Factor_Altura!$A$2:$A$34,1)+1)-INDEX(Factor_Altura!$A$2:$A$34,MATCH(H31*10,Factor_Altura!$A$2:$A$34,1)))</f>
        <v/>
      </c>
      <c r="J31" s="9" t="n">
        <v>1194.6</v>
      </c>
      <c r="K31" s="9" t="n">
        <v>1196.3</v>
      </c>
      <c r="L31" s="9" t="n">
        <v>683.8</v>
      </c>
      <c r="M31" s="9" t="n">
        <v>683.1</v>
      </c>
      <c r="N31" s="11">
        <f>AVERAGE(L31:M31)</f>
        <v/>
      </c>
      <c r="O31" s="11">
        <f>K31-N31</f>
        <v/>
      </c>
      <c r="P31" s="13">
        <f>J31/O31</f>
        <v/>
      </c>
      <c r="Q31" s="13">
        <f>100/(B31/$D$9+C31/$D$11)</f>
        <v/>
      </c>
      <c r="R31" s="12">
        <f>100*(Q31-P31)/Q31</f>
        <v/>
      </c>
      <c r="S31" s="12">
        <f>100-P31*C31/$D$10</f>
        <v/>
      </c>
      <c r="T31" s="11">
        <f>100*(S31-R31)/S31</f>
        <v/>
      </c>
      <c r="U31" s="12">
        <f>B31-$D$12*C31/100</f>
        <v/>
      </c>
      <c r="V31" s="9" t="n">
        <v>940.1</v>
      </c>
      <c r="W31" s="11">
        <f>V31*I31</f>
        <v/>
      </c>
      <c r="X31" s="12">
        <f>W31*9.80665/1000</f>
        <v/>
      </c>
      <c r="Y31" s="10" t="n">
        <v>4.0</v>
      </c>
      <c r="Z31" s="14">
        <f>W31/(Y31/10)</f>
        <v/>
      </c>
      <c r="AA31" s="13">
        <f>J31/(PI()*$D$13^2/4*H31)</f>
        <v/>
      </c>
      <c r="AB31" s="12">
        <f>100*(K31-J31)/O31</f>
        <v/>
      </c>
    </row>
    <row r="33">
      <c r="A33" s="3" t="inlineStr">
        <is>
          <t>VERIFICACIÓN POR BRIQUETA</t>
        </is>
      </c>
    </row>
    <row r="34">
      <c r="A34" s="8" t="inlineStr">
        <is>
          <t>Muestra</t>
        </is>
      </c>
      <c r="B34" s="8" t="inlineStr">
        <is>
          <t>Pb (%)</t>
        </is>
      </c>
      <c r="C34" s="8" t="inlineStr">
        <is>
          <t>Va 3-5 %</t>
        </is>
      </c>
      <c r="D34" s="8" t="inlineStr">
        <is>
          <t>VMA ≥ mín</t>
        </is>
      </c>
      <c r="E34" s="8" t="inlineStr">
        <is>
          <t>VFA 65-75 %</t>
        </is>
      </c>
      <c r="F34" s="8" t="inlineStr">
        <is>
          <t>Estab. ≥ mín</t>
        </is>
      </c>
      <c r="G34" s="8" t="inlineStr">
        <is>
          <t>Flujo 2-4 mm</t>
        </is>
      </c>
      <c r="H34" s="8" t="inlineStr">
        <is>
          <t>Estado</t>
        </is>
      </c>
    </row>
    <row r="35">
      <c r="A35" s="15">
        <f>A17</f>
        <v/>
      </c>
      <c r="B35" s="15">
        <f>B17</f>
        <v/>
      </c>
      <c r="C35" s="15">
        <f>IF(AND(R17&gt;=$J$11,R17&lt;=$K$11),"CUMPLE","NO")</f>
        <v/>
      </c>
      <c r="D35" s="15">
        <f>IF(S17&gt;=$J$12,"CUMPLE","NO")</f>
        <v/>
      </c>
      <c r="E35" s="15">
        <f>IF(AND(T17&gt;=$J$13,T17&lt;=$K$13),"CUMPLE","NO")</f>
        <v/>
      </c>
      <c r="F35" s="15">
        <f>IF(X17&gt;=$J$9,"CUMPLE","NO")</f>
        <v/>
      </c>
      <c r="G35" s="15">
        <f>IF(AND(Y17&gt;=$J$10,Y17&lt;=$K$10),"CUMPLE","NO")</f>
        <v/>
      </c>
      <c r="H35" s="15">
        <f>IF(COUNTIF(C35:G35,"NO")=0,"CUMPLE","NO CUMPLE")</f>
        <v/>
      </c>
    </row>
    <row r="36">
      <c r="A36" s="15">
        <f>A18</f>
        <v/>
      </c>
      <c r="B36" s="15">
        <f>B18</f>
        <v/>
      </c>
      <c r="C36" s="15">
        <f>IF(AND(R18&gt;=$J$11,R18&lt;=$K$11),"CUMPLE","NO")</f>
        <v/>
      </c>
      <c r="D36" s="15">
        <f>IF(S18&gt;=$J$12,"CUMPLE","NO")</f>
        <v/>
      </c>
      <c r="E36" s="15">
        <f>IF(AND(T18&gt;=$J$13,T18&lt;=$K$13),"CUMPLE","NO")</f>
        <v/>
      </c>
      <c r="F36" s="15">
        <f>IF(X18&gt;=$J$9,"CUMPLE","NO")</f>
        <v/>
      </c>
      <c r="G36" s="15">
        <f>IF(AND(Y18&gt;=$J$10,Y18&lt;=$K$10),"CUMPLE","NO")</f>
        <v/>
      </c>
      <c r="H36" s="15">
        <f>IF(COUNTIF(C36:G36,"NO")=0,"CUMPLE","NO CUMPLE")</f>
        <v/>
      </c>
    </row>
    <row r="37">
      <c r="A37" s="15">
        <f>A19</f>
        <v/>
      </c>
      <c r="B37" s="15">
        <f>B19</f>
        <v/>
      </c>
      <c r="C37" s="15">
        <f>IF(AND(R19&gt;=$J$11,R19&lt;=$K$11),"CUMPLE","NO")</f>
        <v/>
      </c>
      <c r="D37" s="15">
        <f>IF(S19&gt;=$J$12,"CUMPLE","NO")</f>
        <v/>
      </c>
      <c r="E37" s="15">
        <f>IF(AND(T19&gt;=$J$13,T19&lt;=$K$13),"CUMPLE","NO")</f>
        <v/>
      </c>
      <c r="F37" s="15">
        <f>IF(X19&gt;=$J$9,"CUMPLE","NO")</f>
        <v/>
      </c>
      <c r="G37" s="15">
        <f>IF(AND(Y19&gt;=$J$10,Y19&lt;=$K$10),"CUMPLE","NO")</f>
        <v/>
      </c>
      <c r="H37" s="15">
        <f>IF(COUNTIF(C37:G37,"NO")=0,"CUMPLE","NO CUMPLE")</f>
        <v/>
      </c>
    </row>
    <row r="38">
      <c r="A38" s="15">
        <f>A20</f>
        <v/>
      </c>
      <c r="B38" s="15">
        <f>B20</f>
        <v/>
      </c>
      <c r="C38" s="15">
        <f>IF(AND(R20&gt;=$J$11,R20&lt;=$K$11),"CUMPLE","NO")</f>
        <v/>
      </c>
      <c r="D38" s="15">
        <f>IF(S20&gt;=$J$12,"CUMPLE","NO")</f>
        <v/>
      </c>
      <c r="E38" s="15">
        <f>IF(AND(T20&gt;=$J$13,T20&lt;=$K$13),"CUMPLE","NO")</f>
        <v/>
      </c>
      <c r="F38" s="15">
        <f>IF(X20&gt;=$J$9,"CUMPLE","NO")</f>
        <v/>
      </c>
      <c r="G38" s="15">
        <f>IF(AND(Y20&gt;=$J$10,Y20&lt;=$K$10),"CUMPLE","NO")</f>
        <v/>
      </c>
      <c r="H38" s="15">
        <f>IF(COUNTIF(C38:G38,"NO")=0,"CUMPLE","NO CUMPLE")</f>
        <v/>
      </c>
    </row>
    <row r="39">
      <c r="A39" s="15">
        <f>A21</f>
        <v/>
      </c>
      <c r="B39" s="15">
        <f>B21</f>
        <v/>
      </c>
      <c r="C39" s="15">
        <f>IF(AND(R21&gt;=$J$11,R21&lt;=$K$11),"CUMPLE","NO")</f>
        <v/>
      </c>
      <c r="D39" s="15">
        <f>IF(S21&gt;=$J$12,"CUMPLE","NO")</f>
        <v/>
      </c>
      <c r="E39" s="15">
        <f>IF(AND(T21&gt;=$J$13,T21&lt;=$K$13),"CUMPLE","NO")</f>
        <v/>
      </c>
      <c r="F39" s="15">
        <f>IF(X21&gt;=$J$9,"CUMPLE","NO")</f>
        <v/>
      </c>
      <c r="G39" s="15">
        <f>IF(AND(Y21&gt;=$J$10,Y21&lt;=$K$10),"CUMPLE","NO")</f>
        <v/>
      </c>
      <c r="H39" s="15">
        <f>IF(COUNTIF(C39:G39,"NO")=0,"CUMPLE","NO CUMPLE")</f>
        <v/>
      </c>
    </row>
    <row r="40">
      <c r="A40" s="15">
        <f>A22</f>
        <v/>
      </c>
      <c r="B40" s="15">
        <f>B22</f>
        <v/>
      </c>
      <c r="C40" s="15">
        <f>IF(AND(R22&gt;=$J$11,R22&lt;=$K$11),"CUMPLE","NO")</f>
        <v/>
      </c>
      <c r="D40" s="15">
        <f>IF(S22&gt;=$J$12,"CUMPLE","NO")</f>
        <v/>
      </c>
      <c r="E40" s="15">
        <f>IF(AND(T22&gt;=$J$13,T22&lt;=$K$13),"CUMPLE","NO")</f>
        <v/>
      </c>
      <c r="F40" s="15">
        <f>IF(X22&gt;=$J$9,"CUMPLE","NO")</f>
        <v/>
      </c>
      <c r="G40" s="15">
        <f>IF(AND(Y22&gt;=$J$10,Y22&lt;=$K$10),"CUMPLE","NO")</f>
        <v/>
      </c>
      <c r="H40" s="15">
        <f>IF(COUNTIF(C40:G40,"NO")=0,"CUMPLE","NO CUMPLE")</f>
        <v/>
      </c>
    </row>
    <row r="41">
      <c r="A41" s="15">
        <f>A23</f>
        <v/>
      </c>
      <c r="B41" s="15">
        <f>B23</f>
        <v/>
      </c>
      <c r="C41" s="15">
        <f>IF(AND(R23&gt;=$J$11,R23&lt;=$K$11),"CUMPLE","NO")</f>
        <v/>
      </c>
      <c r="D41" s="15">
        <f>IF(S23&gt;=$J$12,"CUMPLE","NO")</f>
        <v/>
      </c>
      <c r="E41" s="15">
        <f>IF(AND(T23&gt;=$J$13,T23&lt;=$K$13),"CUMPLE","NO")</f>
        <v/>
      </c>
      <c r="F41" s="15">
        <f>IF(X23&gt;=$J$9,"CUMPLE","NO")</f>
        <v/>
      </c>
      <c r="G41" s="15">
        <f>IF(AND(Y23&gt;=$J$10,Y23&lt;=$K$10),"CUMPLE","NO")</f>
        <v/>
      </c>
      <c r="H41" s="15">
        <f>IF(COUNTIF(C41:G41,"NO")=0,"CUMPLE","NO CUMPLE")</f>
        <v/>
      </c>
    </row>
    <row r="42">
      <c r="A42" s="15">
        <f>A24</f>
        <v/>
      </c>
      <c r="B42" s="15">
        <f>B24</f>
        <v/>
      </c>
      <c r="C42" s="15">
        <f>IF(AND(R24&gt;=$J$11,R24&lt;=$K$11),"CUMPLE","NO")</f>
        <v/>
      </c>
      <c r="D42" s="15">
        <f>IF(S24&gt;=$J$12,"CUMPLE","NO")</f>
        <v/>
      </c>
      <c r="E42" s="15">
        <f>IF(AND(T24&gt;=$J$13,T24&lt;=$K$13),"CUMPLE","NO")</f>
        <v/>
      </c>
      <c r="F42" s="15">
        <f>IF(X24&gt;=$J$9,"CUMPLE","NO")</f>
        <v/>
      </c>
      <c r="G42" s="15">
        <f>IF(AND(Y24&gt;=$J$10,Y24&lt;=$K$10),"CUMPLE","NO")</f>
        <v/>
      </c>
      <c r="H42" s="15">
        <f>IF(COUNTIF(C42:G42,"NO")=0,"CUMPLE","NO CUMPLE")</f>
        <v/>
      </c>
    </row>
    <row r="43">
      <c r="A43" s="15">
        <f>A25</f>
        <v/>
      </c>
      <c r="B43" s="15">
        <f>B25</f>
        <v/>
      </c>
      <c r="C43" s="15">
        <f>IF(AND(R25&gt;=$J$11,R25&lt;=$K$11),"CUMPLE","NO")</f>
        <v/>
      </c>
      <c r="D43" s="15">
        <f>IF(S25&gt;=$J$12,"CUMPLE","NO")</f>
        <v/>
      </c>
      <c r="E43" s="15">
        <f>IF(AND(T25&gt;=$J$13,T25&lt;=$K$13),"CUMPLE","NO")</f>
        <v/>
      </c>
      <c r="F43" s="15">
        <f>IF(X25&gt;=$J$9,"CUMPLE","NO")</f>
        <v/>
      </c>
      <c r="G43" s="15">
        <f>IF(AND(Y25&gt;=$J$10,Y25&lt;=$K$10),"CUMPLE","NO")</f>
        <v/>
      </c>
      <c r="H43" s="15">
        <f>IF(COUNTIF(C43:G43,"NO")=0,"CUMPLE","NO CUMPLE")</f>
        <v/>
      </c>
    </row>
    <row r="44">
      <c r="A44" s="15">
        <f>A26</f>
        <v/>
      </c>
      <c r="B44" s="15">
        <f>B26</f>
        <v/>
      </c>
      <c r="C44" s="15">
        <f>IF(AND(R26&gt;=$J$11,R26&lt;=$K$11),"CUMPLE","NO")</f>
        <v/>
      </c>
      <c r="D44" s="15">
        <f>IF(S26&gt;=$J$12,"CUMPLE","NO")</f>
        <v/>
      </c>
      <c r="E44" s="15">
        <f>IF(AND(T26&gt;=$J$13,T26&lt;=$K$13),"CUMPLE","NO")</f>
        <v/>
      </c>
      <c r="F44" s="15">
        <f>IF(X26&gt;=$J$9,"CUMPLE","NO")</f>
        <v/>
      </c>
      <c r="G44" s="15">
        <f>IF(AND(Y26&gt;=$J$10,Y26&lt;=$K$10),"CUMPLE","NO")</f>
        <v/>
      </c>
      <c r="H44" s="15">
        <f>IF(COUNTIF(C44:G44,"NO")=0,"CUMPLE","NO CUMPLE")</f>
        <v/>
      </c>
    </row>
    <row r="45">
      <c r="A45" s="15">
        <f>A27</f>
        <v/>
      </c>
      <c r="B45" s="15">
        <f>B27</f>
        <v/>
      </c>
      <c r="C45" s="15">
        <f>IF(AND(R27&gt;=$J$11,R27&lt;=$K$11),"CUMPLE","NO")</f>
        <v/>
      </c>
      <c r="D45" s="15">
        <f>IF(S27&gt;=$J$12,"CUMPLE","NO")</f>
        <v/>
      </c>
      <c r="E45" s="15">
        <f>IF(AND(T27&gt;=$J$13,T27&lt;=$K$13),"CUMPLE","NO")</f>
        <v/>
      </c>
      <c r="F45" s="15">
        <f>IF(X27&gt;=$J$9,"CUMPLE","NO")</f>
        <v/>
      </c>
      <c r="G45" s="15">
        <f>IF(AND(Y27&gt;=$J$10,Y27&lt;=$K$10),"CUMPLE","NO")</f>
        <v/>
      </c>
      <c r="H45" s="15">
        <f>IF(COUNTIF(C45:G45,"NO")=0,"CUMPLE","NO CUMPLE")</f>
        <v/>
      </c>
    </row>
    <row r="46">
      <c r="A46" s="15">
        <f>A28</f>
        <v/>
      </c>
      <c r="B46" s="15">
        <f>B28</f>
        <v/>
      </c>
      <c r="C46" s="15">
        <f>IF(AND(R28&gt;=$J$11,R28&lt;=$K$11),"CUMPLE","NO")</f>
        <v/>
      </c>
      <c r="D46" s="15">
        <f>IF(S28&gt;=$J$12,"CUMPLE","NO")</f>
        <v/>
      </c>
      <c r="E46" s="15">
        <f>IF(AND(T28&gt;=$J$13,T28&lt;=$K$13),"CUMPLE","NO")</f>
        <v/>
      </c>
      <c r="F46" s="15">
        <f>IF(X28&gt;=$J$9,"CUMPLE","NO")</f>
        <v/>
      </c>
      <c r="G46" s="15">
        <f>IF(AND(Y28&gt;=$J$10,Y28&lt;=$K$10),"CUMPLE","NO")</f>
        <v/>
      </c>
      <c r="H46" s="15">
        <f>IF(COUNTIF(C46:G46,"NO")=0,"CUMPLE","NO CUMPLE")</f>
        <v/>
      </c>
    </row>
    <row r="47">
      <c r="A47" s="15">
        <f>A29</f>
        <v/>
      </c>
      <c r="B47" s="15">
        <f>B29</f>
        <v/>
      </c>
      <c r="C47" s="15">
        <f>IF(AND(R29&gt;=$J$11,R29&lt;=$K$11),"CUMPLE","NO")</f>
        <v/>
      </c>
      <c r="D47" s="15">
        <f>IF(S29&gt;=$J$12,"CUMPLE","NO")</f>
        <v/>
      </c>
      <c r="E47" s="15">
        <f>IF(AND(T29&gt;=$J$13,T29&lt;=$K$13),"CUMPLE","NO")</f>
        <v/>
      </c>
      <c r="F47" s="15">
        <f>IF(X29&gt;=$J$9,"CUMPLE","NO")</f>
        <v/>
      </c>
      <c r="G47" s="15">
        <f>IF(AND(Y29&gt;=$J$10,Y29&lt;=$K$10),"CUMPLE","NO")</f>
        <v/>
      </c>
      <c r="H47" s="15">
        <f>IF(COUNTIF(C47:G47,"NO")=0,"CUMPLE","NO CUMPLE")</f>
        <v/>
      </c>
    </row>
    <row r="48">
      <c r="A48" s="15">
        <f>A30</f>
        <v/>
      </c>
      <c r="B48" s="15">
        <f>B30</f>
        <v/>
      </c>
      <c r="C48" s="15">
        <f>IF(AND(R30&gt;=$J$11,R30&lt;=$K$11),"CUMPLE","NO")</f>
        <v/>
      </c>
      <c r="D48" s="15">
        <f>IF(S30&gt;=$J$12,"CUMPLE","NO")</f>
        <v/>
      </c>
      <c r="E48" s="15">
        <f>IF(AND(T30&gt;=$J$13,T30&lt;=$K$13),"CUMPLE","NO")</f>
        <v/>
      </c>
      <c r="F48" s="15">
        <f>IF(X30&gt;=$J$9,"CUMPLE","NO")</f>
        <v/>
      </c>
      <c r="G48" s="15">
        <f>IF(AND(Y30&gt;=$J$10,Y30&lt;=$K$10),"CUMPLE","NO")</f>
        <v/>
      </c>
      <c r="H48" s="15">
        <f>IF(COUNTIF(C48:G48,"NO")=0,"CUMPLE","NO CUMPLE")</f>
        <v/>
      </c>
    </row>
    <row r="49">
      <c r="A49" s="15">
        <f>A31</f>
        <v/>
      </c>
      <c r="B49" s="15">
        <f>B31</f>
        <v/>
      </c>
      <c r="C49" s="15">
        <f>IF(AND(R31&gt;=$J$11,R31&lt;=$K$11),"CUMPLE","NO")</f>
        <v/>
      </c>
      <c r="D49" s="15">
        <f>IF(S31&gt;=$J$12,"CUMPLE","NO")</f>
        <v/>
      </c>
      <c r="E49" s="15">
        <f>IF(AND(T31&gt;=$J$13,T31&lt;=$K$13),"CUMPLE","NO")</f>
        <v/>
      </c>
      <c r="F49" s="15">
        <f>IF(X31&gt;=$J$9,"CUMPLE","NO")</f>
        <v/>
      </c>
      <c r="G49" s="15">
        <f>IF(AND(Y31&gt;=$J$10,Y31&lt;=$K$10),"CUMPLE","NO")</f>
        <v/>
      </c>
      <c r="H49" s="15">
        <f>IF(COUNTIF(C49:G49,"NO")=0,"CUMPLE","NO CUMPLE")</f>
        <v/>
      </c>
    </row>
    <row r="51">
      <c r="A51" s="3" t="inlineStr">
        <is>
          <t>CONTENIDO ÓPTIMO DE ASFALTO (ajuste parabólico y = a·Pb² + b·Pb + c, criterio Instituto del Asfalto MS-2)</t>
        </is>
      </c>
    </row>
    <row r="52">
      <c r="A52" s="8" t="inlineStr">
        <is>
          <t>Propiedad</t>
        </is>
      </c>
      <c r="B52" s="8" t="inlineStr">
        <is>
          <t>a</t>
        </is>
      </c>
      <c r="C52" s="8" t="inlineStr">
        <is>
          <t>b</t>
        </is>
      </c>
      <c r="D52" s="8" t="inlineStr">
        <is>
          <t>c</t>
        </is>
      </c>
      <c r="E52" s="8" t="inlineStr">
        <is>
          <t>R²</t>
        </is>
      </c>
      <c r="F52" s="8" t="inlineStr">
        <is>
          <t>Pb criterio (%)</t>
        </is>
      </c>
      <c r="G52" s="8" t="inlineStr">
        <is>
          <t>Nota</t>
        </is>
      </c>
    </row>
    <row r="53">
      <c r="A53" s="16" t="inlineStr">
        <is>
          <t>Gmb</t>
        </is>
      </c>
      <c r="B53" s="17">
        <f>INDEX(LINEST($P$17:$P$31,$B$17:$B$31^{1,2}),1,1)</f>
        <v/>
      </c>
      <c r="C53" s="17">
        <f>INDEX(LINEST($P$17:$P$31,$B$17:$B$31^{1,2}),1,2)</f>
        <v/>
      </c>
      <c r="D53" s="18">
        <f>INDEX(LINEST($P$17:$P$31,$B$17:$B$31^{1,2}),1,3)</f>
        <v/>
      </c>
      <c r="E53" s="18">
        <f>INDEX(LINEST($P$17:$P$31,$B$17:$B$31^{1,2},TRUE,TRUE),3,1)</f>
        <v/>
      </c>
      <c r="F53" s="19">
        <f>IF(AND(B53&lt;0,-C53/(2*B53)&gt;=MIN($B$17:$B$31),-C53/(2*B53)&lt;=MAX($B$17:$B$31)),-C53/(2*B53),INDEX($B$17:$B$31,MATCH(MAX($P$17:$P$31),$P$17:$P$31,0)))</f>
        <v/>
      </c>
      <c r="G53" s="16">
        <f>IF(AND(B53&lt;0,-C53/(2*B53)&gt;=MIN($B$17:$B$31),-C53/(2*B53)&lt;=MAX($B$17:$B$31)),"Máximo de la parábola","Sin máximo interior: se toma el mayor Gmb medido")</f>
        <v/>
      </c>
    </row>
    <row r="54">
      <c r="A54" s="16" t="inlineStr">
        <is>
          <t>Va (%)</t>
        </is>
      </c>
      <c r="B54" s="17">
        <f>INDEX(LINEST($R$17:$R$31,$B$17:$B$31^{1,2}),1,1)</f>
        <v/>
      </c>
      <c r="C54" s="17">
        <f>INDEX(LINEST($R$17:$R$31,$B$17:$B$31^{1,2}),1,2)</f>
        <v/>
      </c>
      <c r="D54" s="18">
        <f>INDEX(LINEST($R$17:$R$31,$B$17:$B$31^{1,2}),1,3)</f>
        <v/>
      </c>
      <c r="E54" s="18">
        <f>INDEX(LINEST($R$17:$R$31,$B$17:$B$31^{1,2},TRUE,TRUE),3,1)</f>
        <v/>
      </c>
      <c r="F54" s="19">
        <f>IF((C54^2-4*B54*(D54-$J$14))&lt;0,"N/A",IF(AND(((-C54+SQRT((C54^2-4*B54*(D54-$J$14))))/(2*B54))&gt;=MIN($B$17:$B$31),((-C54+SQRT((C54^2-4*B54*(D54-$J$14))))/(2*B54))&lt;=MAX($B$17:$B$31)),((-C54+SQRT((C54^2-4*B54*(D54-$J$14))))/(2*B54)),IF(AND(((-C54-SQRT((C54^2-4*B54*(D54-$J$14))))/(2*B54))&gt;=MIN($B$17:$B$31),((-C54-SQRT((C54^2-4*B54*(D54-$J$14))))/(2*B54))&lt;=MAX($B$17:$B$31)),((-C54-SQRT((C54^2-4*B54*(D54-$J$14))))/(2*B54)),"N/A")))</f>
        <v/>
      </c>
      <c r="G54" s="16">
        <f>IF(ISNUMBER(F54),"Pb para Va objetivo","Va objetivo NO se alcanza en el rango ensayado (Va mín. medido = "&amp;TEXT(MIN($R$17:$R$31),"0.0")&amp;" %)")</f>
        <v/>
      </c>
    </row>
    <row r="55">
      <c r="A55" s="16" t="inlineStr">
        <is>
          <t>VMA (%)</t>
        </is>
      </c>
      <c r="B55" s="17">
        <f>INDEX(LINEST($S$17:$S$31,$B$17:$B$31^{1,2}),1,1)</f>
        <v/>
      </c>
      <c r="C55" s="17">
        <f>INDEX(LINEST($S$17:$S$31,$B$17:$B$31^{1,2}),1,2)</f>
        <v/>
      </c>
      <c r="D55" s="18">
        <f>INDEX(LINEST($S$17:$S$31,$B$17:$B$31^{1,2}),1,3)</f>
        <v/>
      </c>
      <c r="E55" s="18">
        <f>INDEX(LINEST($S$17:$S$31,$B$17:$B$31^{1,2},TRUE,TRUE),3,1)</f>
        <v/>
      </c>
      <c r="F55" s="16" t="n"/>
      <c r="G55" s="16" t="n"/>
    </row>
    <row r="56">
      <c r="A56" s="16" t="inlineStr">
        <is>
          <t>VFA (%)</t>
        </is>
      </c>
      <c r="B56" s="17">
        <f>INDEX(LINEST($T$17:$T$31,$B$17:$B$31^{1,2}),1,1)</f>
        <v/>
      </c>
      <c r="C56" s="17">
        <f>INDEX(LINEST($T$17:$T$31,$B$17:$B$31^{1,2}),1,2)</f>
        <v/>
      </c>
      <c r="D56" s="18">
        <f>INDEX(LINEST($T$17:$T$31,$B$17:$B$31^{1,2}),1,3)</f>
        <v/>
      </c>
      <c r="E56" s="18">
        <f>INDEX(LINEST($T$17:$T$31,$B$17:$B$31^{1,2},TRUE,TRUE),3,1)</f>
        <v/>
      </c>
      <c r="F56" s="16" t="n"/>
      <c r="G56" s="16" t="n"/>
    </row>
    <row r="57">
      <c r="A57" s="16" t="inlineStr">
        <is>
          <t>Estabilidad (kN)</t>
        </is>
      </c>
      <c r="B57" s="17">
        <f>INDEX(LINEST($X$17:$X$31,$B$17:$B$31^{1,2}),1,1)</f>
        <v/>
      </c>
      <c r="C57" s="17">
        <f>INDEX(LINEST($X$17:$X$31,$B$17:$B$31^{1,2}),1,2)</f>
        <v/>
      </c>
      <c r="D57" s="18">
        <f>INDEX(LINEST($X$17:$X$31,$B$17:$B$31^{1,2}),1,3)</f>
        <v/>
      </c>
      <c r="E57" s="18">
        <f>INDEX(LINEST($X$17:$X$31,$B$17:$B$31^{1,2},TRUE,TRUE),3,1)</f>
        <v/>
      </c>
      <c r="F57" s="19">
        <f>IF(AND(B57&lt;0,-C57/(2*B57)&gt;=MIN($B$17:$B$31),-C57/(2*B57)&lt;=MAX($B$17:$B$31)),-C57/(2*B57),INDEX($B$17:$B$31,MATCH(MAX($X$17:$X$31),$X$17:$X$31,0)))</f>
        <v/>
      </c>
      <c r="G57" s="16">
        <f>IF(AND(B57&lt;0,-C57/(2*B57)&gt;=MIN($B$17:$B$31),-C57/(2*B57)&lt;=MAX($B$17:$B$31)),"Máximo de la parábola","Sin máximo interior: se toma la mayor estabilidad medida")</f>
        <v/>
      </c>
    </row>
    <row r="58">
      <c r="A58" s="16" t="inlineStr">
        <is>
          <t>Flujo (mm)</t>
        </is>
      </c>
      <c r="B58" s="17">
        <f>INDEX(LINEST($Y$17:$Y$31,$B$17:$B$31^{1,2}),1,1)</f>
        <v/>
      </c>
      <c r="C58" s="17">
        <f>INDEX(LINEST($Y$17:$Y$31,$B$17:$B$31^{1,2}),1,2)</f>
        <v/>
      </c>
      <c r="D58" s="18">
        <f>INDEX(LINEST($Y$17:$Y$31,$B$17:$B$31^{1,2}),1,3)</f>
        <v/>
      </c>
      <c r="E58" s="18">
        <f>INDEX(LINEST($Y$17:$Y$31,$B$17:$B$31^{1,2},TRUE,TRUE),3,1)</f>
        <v/>
      </c>
      <c r="F58" s="16" t="n"/>
      <c r="G58" s="16" t="n"/>
    </row>
    <row r="60">
      <c r="A60" s="3" t="inlineStr">
        <is>
          <t>Pb óptimo calculado (promedio de criterios disponibles)</t>
        </is>
      </c>
      <c r="F60" s="20">
        <f>AVERAGE(F53,F57,F54)</f>
        <v/>
      </c>
      <c r="G60">
        <f>IF(ISNUMBER(F54),"Promedio de 3 criterios","PROVISIONAL: solo promedio de máx. Gmb y máx. estabilidad")</f>
        <v/>
      </c>
    </row>
    <row r="61">
      <c r="A61" s="3" t="inlineStr">
        <is>
          <t>Pb de diseño adoptado (editable; por defecto = calculado)</t>
        </is>
      </c>
      <c r="F61" s="21">
        <f>ROUND(F60*10,0)/10</f>
        <v/>
      </c>
    </row>
    <row r="63">
      <c r="A63" s="3" t="inlineStr">
        <is>
          <t>VERIFICACIÓN EN EL Pb DE DISEÑO (valores leídos de las curvas ajustadas)</t>
        </is>
      </c>
    </row>
    <row r="64">
      <c r="A64" s="8" t="inlineStr">
        <is>
          <t>Propiedad</t>
        </is>
      </c>
      <c r="B64" s="8" t="inlineStr">
        <is>
          <t>Valor</t>
        </is>
      </c>
      <c r="C64" s="8" t="inlineStr">
        <is>
          <t>Especificación</t>
        </is>
      </c>
      <c r="D64" s="8" t="inlineStr">
        <is>
          <t>Resultado</t>
        </is>
      </c>
    </row>
    <row r="65">
      <c r="A65" s="15" t="inlineStr">
        <is>
          <t>Gmb</t>
        </is>
      </c>
      <c r="B65" s="13">
        <f>B53*$F$61^2+C53*$F$61+D53</f>
        <v/>
      </c>
      <c r="C65" s="15" t="inlineStr">
        <is>
          <t>-</t>
        </is>
      </c>
      <c r="D65" s="15">
        <f>"-"</f>
        <v/>
      </c>
    </row>
    <row r="66">
      <c r="A66" s="15" t="inlineStr">
        <is>
          <t>Va (%)</t>
        </is>
      </c>
      <c r="B66" s="12">
        <f>B54*$F$61^2+C54*$F$61+D54</f>
        <v/>
      </c>
      <c r="C66" s="15">
        <f>TEXT($J$11,"0")&amp;" - "&amp;TEXT($K$11,"0")&amp;" %"</f>
        <v/>
      </c>
      <c r="D66" s="15">
        <f>IF(AND(B66&gt;=$J$11,B66&lt;=$K$11),"CUMPLE","NO CUMPLE")</f>
        <v/>
      </c>
    </row>
    <row r="67">
      <c r="A67" s="15" t="inlineStr">
        <is>
          <t>VMA (%)</t>
        </is>
      </c>
      <c r="B67" s="12">
        <f>B55*$F$61^2+C55*$F$61+D55</f>
        <v/>
      </c>
      <c r="C67" s="15">
        <f>"≥ "&amp;TEXT($J$12,"0")&amp;" %"</f>
        <v/>
      </c>
      <c r="D67" s="15">
        <f>IF(B67&gt;=$J$12,"CUMPLE","NO CUMPLE")</f>
        <v/>
      </c>
    </row>
    <row r="68">
      <c r="A68" s="15" t="inlineStr">
        <is>
          <t>VFA (%)</t>
        </is>
      </c>
      <c r="B68" s="11">
        <f>B56*$F$61^2+C56*$F$61+D56</f>
        <v/>
      </c>
      <c r="C68" s="15">
        <f>TEXT($J$13,"0")&amp;" - "&amp;TEXT($K$13,"0")&amp;" %"</f>
        <v/>
      </c>
      <c r="D68" s="15">
        <f>IF(AND(B68&gt;=$J$13,B68&lt;=$K$13),"CUMPLE","NO CUMPLE")</f>
        <v/>
      </c>
    </row>
    <row r="69">
      <c r="A69" s="15" t="inlineStr">
        <is>
          <t>Estabilidad (kN)</t>
        </is>
      </c>
      <c r="B69" s="12">
        <f>B57*$F$61^2+C57*$F$61+D57</f>
        <v/>
      </c>
      <c r="C69" s="15">
        <f>"≥ "&amp;TEXT($J$9,"0.00")&amp;" kN"</f>
        <v/>
      </c>
      <c r="D69" s="15">
        <f>IF(B69&gt;=$J$9,"CUMPLE","NO CUMPLE")</f>
        <v/>
      </c>
    </row>
    <row r="70">
      <c r="A70" s="15" t="inlineStr">
        <is>
          <t>Flujo (mm)</t>
        </is>
      </c>
      <c r="B70" s="12">
        <f>B58*$F$61^2+C58*$F$61+D58</f>
        <v/>
      </c>
      <c r="C70" s="15">
        <f>TEXT($J$10,"0")&amp;" - "&amp;TEXT($K$10,"0")&amp;" mm"</f>
        <v/>
      </c>
      <c r="D70" s="15">
        <f>IF(AND(B70&gt;=$J$10,B70&lt;=$K$10),"CUMPLE","NO CUMPLE")</f>
        <v/>
      </c>
    </row>
    <row r="72">
      <c r="A72" s="3" t="inlineStr">
        <is>
          <t>Observaciones:</t>
        </is>
      </c>
    </row>
    <row r="73">
      <c r="A73" t="inlineStr">
        <is>
          <t>1. TODOS los datos de esta hoja son SIMULADOS para mostrar cómo luce un diseño Marshall que cumple. No usar como resultado de laboratorio.</t>
        </is>
      </c>
    </row>
    <row r="74">
      <c r="A74" t="inlineStr">
        <is>
          <t>2. Gsb y Gse supuestos; en un diseño real se obtienen de MTC E 205/206 y del ensayo Rice (MTC E 508).</t>
        </is>
      </c>
    </row>
    <row r="75">
      <c r="A75" t="inlineStr">
        <is>
          <t>3. Se simulan 3 briquetas por contenido de asfalto, como recomienda la norma.</t>
        </is>
      </c>
    </row>
    <row r="76">
      <c r="A76" t="inlineStr">
        <is>
          <t>4. Óptimo según Instituto del Asfalto (MS-2): promedio de Pb a Va = 4 %, Pb a máx. Gmb y Pb a máx. estabilidad.</t>
        </is>
      </c>
    </row>
  </sheetData>
  <mergeCells count="14">
    <mergeCell ref="A10:C10"/>
    <mergeCell ref="A13:C13"/>
    <mergeCell ref="A11:C11"/>
    <mergeCell ref="G10:I10"/>
    <mergeCell ref="G14:I14"/>
    <mergeCell ref="A1:Z1"/>
    <mergeCell ref="G13:I13"/>
    <mergeCell ref="A9:C9"/>
    <mergeCell ref="G9:I9"/>
    <mergeCell ref="A2:Z2"/>
    <mergeCell ref="G12:I12"/>
    <mergeCell ref="A12:C12"/>
    <mergeCell ref="A7:Z7"/>
    <mergeCell ref="G11:I11"/>
  </mergeCells>
  <conditionalFormatting sqref="C35:H49">
    <cfRule type="cellIs" priority="1" operator="equal" dxfId="0">
      <formula>"CUMPLE"</formula>
    </cfRule>
    <cfRule type="cellIs" priority="2" operator="notEqual" dxfId="1">
      <formula>"CUMPLE"</formula>
    </cfRule>
  </conditionalFormatting>
  <conditionalFormatting sqref="D66:D70">
    <cfRule type="cellIs" priority="3" operator="equal" dxfId="0">
      <formula>"CUMPLE"</formula>
    </cfRule>
    <cfRule type="cellIs" priority="4" operator="equal" dxfId="1">
      <formula>"NO CUMPLE"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DISEÑO DE MEZCLAS ASFÁLTICAS EN CALIENTE - GRÁFICAS MARSHALL</t>
        </is>
      </c>
    </row>
    <row r="2">
      <c r="A2" s="24" t="inlineStr">
        <is>
          <t>EJEMPLO ILUSTRATIVO – DATOS SIMULADOS, NO CORRESPONDEN AL ENSAYO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25" t="inlineStr">
        <is>
          <t>Altura (mm)</t>
        </is>
      </c>
      <c r="B1" s="25" t="inlineStr">
        <is>
          <t>Factor corrección</t>
        </is>
      </c>
      <c r="D1" t="inlineStr">
        <is>
          <t>Fuente: MTC E 504 / ASTM D6927 (interpolación lineal).</t>
        </is>
      </c>
    </row>
    <row r="2">
      <c r="A2" s="16" t="n">
        <v>25.4</v>
      </c>
      <c r="B2" s="16" t="n">
        <v>5.56</v>
      </c>
    </row>
    <row r="3">
      <c r="A3" s="16" t="n">
        <v>27</v>
      </c>
      <c r="B3" s="16" t="n">
        <v>5</v>
      </c>
    </row>
    <row r="4">
      <c r="A4" s="16" t="n">
        <v>28.6</v>
      </c>
      <c r="B4" s="16" t="n">
        <v>4.55</v>
      </c>
    </row>
    <row r="5">
      <c r="A5" s="16" t="n">
        <v>30.2</v>
      </c>
      <c r="B5" s="16" t="n">
        <v>4.17</v>
      </c>
    </row>
    <row r="6">
      <c r="A6" s="16" t="n">
        <v>31.8</v>
      </c>
      <c r="B6" s="16" t="n">
        <v>3.85</v>
      </c>
    </row>
    <row r="7">
      <c r="A7" s="16" t="n">
        <v>33.3</v>
      </c>
      <c r="B7" s="16" t="n">
        <v>3.57</v>
      </c>
    </row>
    <row r="8">
      <c r="A8" s="16" t="n">
        <v>34.9</v>
      </c>
      <c r="B8" s="16" t="n">
        <v>3.33</v>
      </c>
    </row>
    <row r="9">
      <c r="A9" s="16" t="n">
        <v>36.5</v>
      </c>
      <c r="B9" s="16" t="n">
        <v>3.03</v>
      </c>
    </row>
    <row r="10">
      <c r="A10" s="16" t="n">
        <v>38.1</v>
      </c>
      <c r="B10" s="16" t="n">
        <v>2.78</v>
      </c>
    </row>
    <row r="11">
      <c r="A11" s="16" t="n">
        <v>39.7</v>
      </c>
      <c r="B11" s="16" t="n">
        <v>2.5</v>
      </c>
    </row>
    <row r="12">
      <c r="A12" s="16" t="n">
        <v>41.3</v>
      </c>
      <c r="B12" s="16" t="n">
        <v>2.27</v>
      </c>
    </row>
    <row r="13">
      <c r="A13" s="16" t="n">
        <v>42.9</v>
      </c>
      <c r="B13" s="16" t="n">
        <v>2.08</v>
      </c>
    </row>
    <row r="14">
      <c r="A14" s="16" t="n">
        <v>44.4</v>
      </c>
      <c r="B14" s="16" t="n">
        <v>1.92</v>
      </c>
    </row>
    <row r="15">
      <c r="A15" s="16" t="n">
        <v>46</v>
      </c>
      <c r="B15" s="16" t="n">
        <v>1.79</v>
      </c>
    </row>
    <row r="16">
      <c r="A16" s="16" t="n">
        <v>47.6</v>
      </c>
      <c r="B16" s="16" t="n">
        <v>1.67</v>
      </c>
    </row>
    <row r="17">
      <c r="A17" s="16" t="n">
        <v>49.2</v>
      </c>
      <c r="B17" s="16" t="n">
        <v>1.56</v>
      </c>
    </row>
    <row r="18">
      <c r="A18" s="16" t="n">
        <v>50.8</v>
      </c>
      <c r="B18" s="16" t="n">
        <v>1.47</v>
      </c>
    </row>
    <row r="19">
      <c r="A19" s="16" t="n">
        <v>52.4</v>
      </c>
      <c r="B19" s="16" t="n">
        <v>1.39</v>
      </c>
    </row>
    <row r="20">
      <c r="A20" s="16" t="n">
        <v>54</v>
      </c>
      <c r="B20" s="16" t="n">
        <v>1.32</v>
      </c>
    </row>
    <row r="21">
      <c r="A21" s="16" t="n">
        <v>55.6</v>
      </c>
      <c r="B21" s="16" t="n">
        <v>1.25</v>
      </c>
    </row>
    <row r="22">
      <c r="A22" s="16" t="n">
        <v>57.2</v>
      </c>
      <c r="B22" s="16" t="n">
        <v>1.19</v>
      </c>
    </row>
    <row r="23">
      <c r="A23" s="16" t="n">
        <v>58.7</v>
      </c>
      <c r="B23" s="16" t="n">
        <v>1.14</v>
      </c>
    </row>
    <row r="24">
      <c r="A24" s="16" t="n">
        <v>60.3</v>
      </c>
      <c r="B24" s="16" t="n">
        <v>1.09</v>
      </c>
    </row>
    <row r="25">
      <c r="A25" s="16" t="n">
        <v>61.9</v>
      </c>
      <c r="B25" s="16" t="n">
        <v>1.04</v>
      </c>
    </row>
    <row r="26">
      <c r="A26" s="16" t="n">
        <v>63.5</v>
      </c>
      <c r="B26" s="16" t="n">
        <v>1</v>
      </c>
    </row>
    <row r="27">
      <c r="A27" s="16" t="n">
        <v>65.09999999999999</v>
      </c>
      <c r="B27" s="16" t="n">
        <v>0.96</v>
      </c>
    </row>
    <row r="28">
      <c r="A28" s="16" t="n">
        <v>66.7</v>
      </c>
      <c r="B28" s="16" t="n">
        <v>0.93</v>
      </c>
    </row>
    <row r="29">
      <c r="A29" s="16" t="n">
        <v>68.3</v>
      </c>
      <c r="B29" s="16" t="n">
        <v>0.89</v>
      </c>
    </row>
    <row r="30">
      <c r="A30" s="16" t="n">
        <v>69.90000000000001</v>
      </c>
      <c r="B30" s="16" t="n">
        <v>0.86</v>
      </c>
    </row>
    <row r="31">
      <c r="A31" s="16" t="n">
        <v>71.40000000000001</v>
      </c>
      <c r="B31" s="16" t="n">
        <v>0.83</v>
      </c>
    </row>
    <row r="32">
      <c r="A32" s="16" t="n">
        <v>73</v>
      </c>
      <c r="B32" s="16" t="n">
        <v>0.8100000000000001</v>
      </c>
    </row>
    <row r="33">
      <c r="A33" s="16" t="n">
        <v>74.59999999999999</v>
      </c>
      <c r="B33" s="16" t="n">
        <v>0.78</v>
      </c>
    </row>
    <row r="34">
      <c r="A34" s="16" t="n">
        <v>76.2</v>
      </c>
      <c r="B34" s="16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2026-10-05T14:14:33Z</dcterms:created>
  <dcterms:modified xsi:type="dcterms:W3CDTF">2026-10-05T14:14:33Z</dcterms:modified>
</cp:coreProperties>
</file>